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TOP\"/>
    </mc:Choice>
  </mc:AlternateContent>
  <xr:revisionPtr revIDLastSave="0" documentId="13_ncr:1_{42470BB7-2D53-4B74-8DAB-27AD8BC64313}" xr6:coauthVersionLast="47" xr6:coauthVersionMax="47" xr10:uidLastSave="{00000000-0000-0000-0000-000000000000}"/>
  <bookViews>
    <workbookView xWindow="2115" yWindow="165" windowWidth="26685" windowHeight="15315" xr2:uid="{00000000-000D-0000-FFFF-FFFF00000000}"/>
  </bookViews>
  <sheets>
    <sheet name="당직일지" sheetId="2" r:id="rId1"/>
  </sheets>
  <definedNames>
    <definedName name="_xlnm.Print_Area" localSheetId="0">당직일지!$B$1:$U$43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5" i="2" l="1"/>
  <c r="F9" i="2"/>
  <c r="F11" i="2"/>
  <c r="Y9" i="2"/>
  <c r="Y15" i="2"/>
  <c r="AB15" i="2" s="1"/>
  <c r="Y11" i="2"/>
  <c r="AB11" i="2" s="1"/>
  <c r="AA9" i="2"/>
  <c r="L9" i="2" s="1"/>
  <c r="B6" i="2"/>
  <c r="F18" i="2"/>
  <c r="F17" i="2"/>
  <c r="F13" i="2"/>
  <c r="I18" i="2"/>
  <c r="I17" i="2"/>
  <c r="I15" i="2"/>
  <c r="I13" i="2"/>
  <c r="I11" i="2"/>
  <c r="I9" i="2"/>
  <c r="Y18" i="2"/>
  <c r="AA18" i="2" s="1"/>
  <c r="L18" i="2" s="1"/>
  <c r="Y17" i="2"/>
  <c r="O17" i="2" s="1"/>
  <c r="Y13" i="2"/>
  <c r="O13" i="2" s="1"/>
  <c r="AB9" i="2" l="1"/>
  <c r="R9" i="2" s="1"/>
  <c r="AB18" i="2"/>
  <c r="R18" i="2" s="1"/>
  <c r="AB17" i="2"/>
  <c r="R17" i="2" s="1"/>
  <c r="AB13" i="2"/>
  <c r="R13" i="2" s="1"/>
  <c r="R11" i="2"/>
  <c r="R15" i="2"/>
  <c r="AA15" i="2"/>
  <c r="L15" i="2" s="1"/>
  <c r="AA13" i="2"/>
  <c r="L13" i="2" s="1"/>
  <c r="O9" i="2"/>
  <c r="AA11" i="2"/>
  <c r="L11" i="2" s="1"/>
  <c r="O18" i="2"/>
  <c r="O15" i="2"/>
  <c r="AA17" i="2"/>
  <c r="L17" i="2" s="1"/>
  <c r="O11" i="2"/>
</calcChain>
</file>

<file path=xl/sharedStrings.xml><?xml version="1.0" encoding="utf-8"?>
<sst xmlns="http://schemas.openxmlformats.org/spreadsheetml/2006/main" count="105" uniqueCount="92">
  <si>
    <t>순찰 점검 사항</t>
  </si>
  <si>
    <t>난방/
급탕</t>
    <phoneticPr fontId="1" type="noConversion"/>
  </si>
  <si>
    <t>기계실 배수 펌프</t>
  </si>
  <si>
    <t>주차장 배수 펌프</t>
  </si>
  <si>
    <t>펌프 상태 : 정상 / 비정상</t>
  </si>
  <si>
    <t>정상 / 비정상</t>
    <phoneticPr fontId="1" type="noConversion"/>
  </si>
  <si>
    <t xml:space="preserve">정화조 / 졸라펌프실 </t>
  </si>
  <si>
    <t>옥상 냉각탑</t>
  </si>
  <si>
    <t>가동 시간</t>
  </si>
  <si>
    <t>에너지 사용 현황</t>
  </si>
  <si>
    <t>금일 검침</t>
  </si>
  <si>
    <t>전일 검침</t>
  </si>
  <si>
    <t>전일대비 증감</t>
  </si>
  <si>
    <t>월 누계</t>
  </si>
  <si>
    <t>냉각탑 수위 : 높음 / 보통 / 낮음</t>
  </si>
  <si>
    <t>냉각탑 이상 소음 : 유 / 무</t>
  </si>
  <si>
    <t>작동 여부 : 정상 / 비정상</t>
  </si>
  <si>
    <t>작동 여부 : 정상 / 비정상</t>
    <phoneticPr fontId="1" type="noConversion"/>
  </si>
  <si>
    <t>소화수조 수위</t>
  </si>
  <si>
    <t>당 직 일 지 (시설)</t>
  </si>
  <si>
    <t>구 분</t>
  </si>
  <si>
    <t xml:space="preserve">전 력
(사용량) </t>
  </si>
  <si>
    <t>지역
냉난방</t>
  </si>
  <si>
    <t>냉방</t>
  </si>
  <si>
    <t>수 도</t>
  </si>
  <si>
    <t>식당 퇴실 점검</t>
    <phoneticPr fontId="1" type="noConversion"/>
  </si>
  <si>
    <t>부스터 펌프</t>
    <phoneticPr fontId="1" type="noConversion"/>
  </si>
  <si>
    <t>가동 상태 : 정상 / 비정상</t>
    <phoneticPr fontId="1" type="noConversion"/>
  </si>
  <si>
    <t>가로등&amp;간판</t>
    <phoneticPr fontId="1" type="noConversion"/>
  </si>
  <si>
    <t>의료가스실</t>
    <phoneticPr fontId="1" type="noConversion"/>
  </si>
  <si>
    <t xml:space="preserve">℃ </t>
    <phoneticPr fontId="1" type="noConversion"/>
  </si>
  <si>
    <t xml:space="preserve"> 가스압력 :</t>
    <phoneticPr fontId="1" type="noConversion"/>
  </si>
  <si>
    <t>검사실 폐수</t>
    <phoneticPr fontId="1" type="noConversion"/>
  </si>
  <si>
    <t xml:space="preserve"> 가스 : Open / Close</t>
    <phoneticPr fontId="1" type="noConversion"/>
  </si>
  <si>
    <t xml:space="preserve"> 수도 : Open / Close</t>
    <phoneticPr fontId="1" type="noConversion"/>
  </si>
  <si>
    <t xml:space="preserve">%  </t>
    <phoneticPr fontId="1" type="noConversion"/>
  </si>
  <si>
    <t xml:space="preserve"> 냉장 (2~3 ℃) :</t>
    <phoneticPr fontId="1" type="noConversion"/>
  </si>
  <si>
    <t xml:space="preserve"> 냉동 (-18~-22 ℃) :</t>
    <phoneticPr fontId="1" type="noConversion"/>
  </si>
  <si>
    <t>주방 워크인
냉장&amp;냉동 온도</t>
    <phoneticPr fontId="1" type="noConversion"/>
  </si>
  <si>
    <t>현 수위 :</t>
    <phoneticPr fontId="1" type="noConversion"/>
  </si>
  <si>
    <t>저수조 수위</t>
    <phoneticPr fontId="1" type="noConversion"/>
  </si>
  <si>
    <t>㎫</t>
    <phoneticPr fontId="1" type="noConversion"/>
  </si>
  <si>
    <t>근무자</t>
    <phoneticPr fontId="1" type="noConversion"/>
  </si>
  <si>
    <t>담당</t>
    <phoneticPr fontId="1" type="noConversion"/>
  </si>
  <si>
    <t>부서장</t>
    <phoneticPr fontId="1" type="noConversion"/>
  </si>
  <si>
    <t>결
재</t>
    <phoneticPr fontId="1" type="noConversion"/>
  </si>
  <si>
    <t>사용량</t>
    <phoneticPr fontId="1" type="noConversion"/>
  </si>
  <si>
    <t>급탕 :  24h</t>
    <phoneticPr fontId="1" type="noConversion"/>
  </si>
  <si>
    <t xml:space="preserve"> 실병:  8   공병:      사용중:  4</t>
    <phoneticPr fontId="1" type="noConversion"/>
  </si>
  <si>
    <t>5층 통신실</t>
    <phoneticPr fontId="1" type="noConversion"/>
  </si>
  <si>
    <t xml:space="preserve">          실내온도:                ℃    
에어컨 누수여부:  정상 / 비정상</t>
    <phoneticPr fontId="1" type="noConversion"/>
  </si>
  <si>
    <t>UPS실</t>
    <phoneticPr fontId="1" type="noConversion"/>
  </si>
  <si>
    <t>가동 상태 : 정상 / 비정상</t>
    <phoneticPr fontId="1" type="noConversion"/>
  </si>
  <si>
    <t>도시 가스(식당)</t>
    <phoneticPr fontId="1" type="noConversion"/>
  </si>
  <si>
    <t>주차장 영구배수</t>
    <phoneticPr fontId="1" type="noConversion"/>
  </si>
  <si>
    <t>특이사항</t>
    <phoneticPr fontId="1" type="noConversion"/>
  </si>
  <si>
    <t>전월 검침</t>
    <phoneticPr fontId="1" type="noConversion"/>
  </si>
  <si>
    <t>금월 검침</t>
    <phoneticPr fontId="1" type="noConversion"/>
  </si>
  <si>
    <t>비고</t>
    <phoneticPr fontId="1" type="noConversion"/>
  </si>
  <si>
    <r>
      <t>FCU</t>
    </r>
    <r>
      <rPr>
        <sz val="11"/>
        <color theme="0"/>
        <rFont val="맑은 고딕"/>
        <family val="3"/>
        <charset val="129"/>
        <scheme val="minor"/>
      </rPr>
      <t>::</t>
    </r>
    <r>
      <rPr>
        <sz val="11"/>
        <color theme="1"/>
        <rFont val="맑은 고딕"/>
        <family val="2"/>
        <charset val="129"/>
        <scheme val="minor"/>
      </rPr>
      <t>난방</t>
    </r>
    <r>
      <rPr>
        <sz val="11"/>
        <color theme="1"/>
        <rFont val="맑은 고딕"/>
        <family val="3"/>
        <charset val="129"/>
        <scheme val="minor"/>
      </rPr>
      <t xml:space="preserve"> </t>
    </r>
    <r>
      <rPr>
        <sz val="11"/>
        <color theme="1"/>
        <rFont val="맑은 고딕"/>
        <family val="2"/>
        <charset val="129"/>
        <scheme val="minor"/>
      </rPr>
      <t>:  24h
바닥 난방 :  24h</t>
    </r>
    <phoneticPr fontId="1" type="noConversion"/>
  </si>
  <si>
    <t>냉방 : 0</t>
    <phoneticPr fontId="1" type="noConversion"/>
  </si>
  <si>
    <t>101 온수</t>
    <phoneticPr fontId="1" type="noConversion"/>
  </si>
  <si>
    <t>101 수도</t>
    <phoneticPr fontId="1" type="noConversion"/>
  </si>
  <si>
    <t>203 온수</t>
    <phoneticPr fontId="1" type="noConversion"/>
  </si>
  <si>
    <t>203 수도</t>
    <phoneticPr fontId="1" type="noConversion"/>
  </si>
  <si>
    <t>2층 상가3 냉난방</t>
    <phoneticPr fontId="1" type="noConversion"/>
  </si>
  <si>
    <t>1,2층 상가1,2 냉난방</t>
    <phoneticPr fontId="1" type="noConversion"/>
  </si>
  <si>
    <t>P-2LC 전력량계</t>
    <phoneticPr fontId="1" type="noConversion"/>
  </si>
  <si>
    <t>월 사용량</t>
    <phoneticPr fontId="1" type="noConversion"/>
  </si>
  <si>
    <t>㎿h</t>
    <phoneticPr fontId="1" type="noConversion"/>
  </si>
  <si>
    <t>㎾h</t>
    <phoneticPr fontId="1" type="noConversion"/>
  </si>
  <si>
    <t>㎥</t>
    <phoneticPr fontId="1" type="noConversion"/>
  </si>
  <si>
    <t>매월 말일
* 검침 *</t>
    <phoneticPr fontId="1" type="noConversion"/>
  </si>
  <si>
    <t>㎥</t>
    <phoneticPr fontId="1" type="noConversion"/>
  </si>
  <si>
    <t>㎥</t>
    <phoneticPr fontId="1" type="noConversion"/>
  </si>
  <si>
    <t>㎾h</t>
    <phoneticPr fontId="1" type="noConversion"/>
  </si>
  <si>
    <t xml:space="preserve">날씨:              기온: 최고       ℃,  최저         ℃  </t>
    <phoneticPr fontId="1" type="noConversion"/>
  </si>
  <si>
    <t>검침값 계산기</t>
    <phoneticPr fontId="1" type="noConversion"/>
  </si>
  <si>
    <t>전일검침</t>
    <phoneticPr fontId="1" type="noConversion"/>
  </si>
  <si>
    <t>전일 대비 증감</t>
    <phoneticPr fontId="1" type="noConversion"/>
  </si>
  <si>
    <t>*사용량 및 월 누계 먼저 전일 사용량, 전일 월누계에 복붙하고(alt + 1)시작하기</t>
    <phoneticPr fontId="1" type="noConversion"/>
  </si>
  <si>
    <t>ctrl + v</t>
    <phoneticPr fontId="1" type="noConversion"/>
  </si>
  <si>
    <t>월 누계☞</t>
    <phoneticPr fontId="1" type="noConversion"/>
  </si>
  <si>
    <t>금일 검침☞</t>
    <phoneticPr fontId="1" type="noConversion"/>
  </si>
  <si>
    <r>
      <t>사용량</t>
    </r>
    <r>
      <rPr>
        <b/>
        <sz val="15"/>
        <color theme="1"/>
        <rFont val="맑은 고딕"/>
        <family val="3"/>
        <charset val="129"/>
      </rPr>
      <t>☞</t>
    </r>
    <phoneticPr fontId="1" type="noConversion"/>
  </si>
  <si>
    <t>전일 월 누계☞</t>
    <phoneticPr fontId="1" type="noConversion"/>
  </si>
  <si>
    <t>alt + 1</t>
    <phoneticPr fontId="1" type="noConversion"/>
  </si>
  <si>
    <t>*매월 1일 전일 월 누계 숫자 '0' 으로 변경하기. 월누계 복붙안해도 됨.</t>
    <phoneticPr fontId="1" type="noConversion"/>
  </si>
  <si>
    <t xml:space="preserve">특이사항 메모 : </t>
    <phoneticPr fontId="1" type="noConversion"/>
  </si>
  <si>
    <t>전일사용량☞</t>
    <phoneticPr fontId="1" type="noConversion"/>
  </si>
  <si>
    <t xml:space="preserve">  </t>
    <phoneticPr fontId="1" type="noConversion"/>
  </si>
  <si>
    <t>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</si>
</sst>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-&quot;₩&quot;* #,##0_-;\-&quot;₩&quot;* #,##0_-;_-&quot;₩&quot;* &quot;-&quot;_-;_-@_-"/>
    <numFmt numFmtId="176" formatCode="[$-F800]dddd\,\ mmmm\ dd\,\ yyyy"/>
    <numFmt numFmtId="177" formatCode="0.0_ "/>
    <numFmt numFmtId="178" formatCode="0_ "/>
  </numFmts>
  <fonts count="2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2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b/>
      <sz val="28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sz val="12"/>
      <color theme="1"/>
      <name val="맑은 고딕"/>
      <family val="2"/>
      <charset val="129"/>
      <scheme val="minor"/>
    </font>
    <font>
      <b/>
      <sz val="40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8"/>
      <color theme="1"/>
      <name val="맑은 고딕"/>
      <family val="3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4"/>
      <color theme="1"/>
      <name val="맑은 고딕"/>
      <family val="2"/>
      <charset val="129"/>
      <scheme val="minor"/>
    </font>
    <font>
      <b/>
      <sz val="13"/>
      <color rgb="FF9C5700"/>
      <name val="맑은 고딕"/>
      <family val="3"/>
      <charset val="129"/>
      <scheme val="minor"/>
    </font>
    <font>
      <sz val="20"/>
      <color theme="1"/>
      <name val="맑은 고딕"/>
      <family val="2"/>
      <charset val="129"/>
      <scheme val="minor"/>
    </font>
    <font>
      <b/>
      <sz val="15"/>
      <color theme="1"/>
      <name val="맑은 고딕"/>
      <family val="3"/>
      <charset val="129"/>
      <scheme val="minor"/>
    </font>
    <font>
      <b/>
      <sz val="15"/>
      <color theme="1"/>
      <name val="맑은 고딕"/>
      <family val="3"/>
      <charset val="129"/>
    </font>
    <font>
      <sz val="11"/>
      <color rgb="FF9C0006"/>
      <name val="맑은 고딕"/>
      <family val="2"/>
      <charset val="129"/>
      <scheme val="minor"/>
    </font>
    <font>
      <b/>
      <sz val="13"/>
      <color rgb="FF9C0006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EB9C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7CE"/>
      </patternFill>
    </fill>
  </fills>
  <borders count="6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theme="0"/>
      </right>
      <top style="thin">
        <color auto="1"/>
      </top>
      <bottom style="thin">
        <color auto="1"/>
      </bottom>
      <diagonal/>
    </border>
    <border>
      <left style="thin">
        <color theme="0"/>
      </left>
      <right style="thin">
        <color theme="0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auto="1"/>
      </bottom>
      <diagonal/>
    </border>
    <border>
      <left style="thin">
        <color theme="0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auto="1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thin">
        <color indexed="64"/>
      </right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dashDotDot">
        <color indexed="64"/>
      </top>
      <bottom/>
      <diagonal/>
    </border>
    <border>
      <left/>
      <right/>
      <top style="dashDotDot">
        <color indexed="64"/>
      </top>
      <bottom/>
      <diagonal/>
    </border>
    <border>
      <left style="thin">
        <color auto="1"/>
      </left>
      <right style="thin">
        <color auto="1"/>
      </right>
      <top style="dashDotDot">
        <color indexed="64"/>
      </top>
      <bottom/>
      <diagonal/>
    </border>
    <border>
      <left style="thin">
        <color auto="1"/>
      </left>
      <right/>
      <top style="dashDotDot">
        <color indexed="64"/>
      </top>
      <bottom/>
      <diagonal/>
    </border>
    <border>
      <left/>
      <right style="thin">
        <color auto="1"/>
      </right>
      <top style="dashDotDot">
        <color indexed="64"/>
      </top>
      <bottom/>
      <diagonal/>
    </border>
    <border>
      <left/>
      <right style="medium">
        <color indexed="64"/>
      </right>
      <top style="dashDotDot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dashDotDot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dashDotDot">
        <color indexed="64"/>
      </top>
      <bottom style="thin">
        <color auto="1"/>
      </bottom>
      <diagonal/>
    </border>
    <border>
      <left style="thin">
        <color auto="1"/>
      </left>
      <right/>
      <top style="dashDotDot">
        <color indexed="64"/>
      </top>
      <bottom style="thin">
        <color auto="1"/>
      </bottom>
      <diagonal/>
    </border>
    <border>
      <left/>
      <right style="thin">
        <color auto="1"/>
      </right>
      <top style="dashDotDot">
        <color indexed="64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dashDotDot">
        <color indexed="64"/>
      </top>
      <bottom style="thin">
        <color auto="1"/>
      </bottom>
      <diagonal/>
    </border>
    <border>
      <left style="dashDotDot">
        <color auto="1"/>
      </left>
      <right style="thin">
        <color auto="1"/>
      </right>
      <top style="thin">
        <color auto="1"/>
      </top>
      <bottom/>
      <diagonal/>
    </border>
    <border>
      <left style="dashDotDot">
        <color auto="1"/>
      </left>
      <right style="thin">
        <color auto="1"/>
      </right>
      <top/>
      <bottom style="thin">
        <color indexed="64"/>
      </bottom>
      <diagonal/>
    </border>
    <border>
      <left/>
      <right style="medium">
        <color indexed="64"/>
      </right>
      <top style="thin">
        <color auto="1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4">
    <xf numFmtId="0" fontId="0" fillId="0" borderId="0">
      <alignment vertical="center"/>
    </xf>
    <xf numFmtId="0" fontId="18" fillId="5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42" fontId="26" fillId="0" borderId="0" applyFont="0" applyFill="0" applyBorder="0" applyAlignment="0" applyProtection="0">
      <alignment vertical="center"/>
    </xf>
  </cellStyleXfs>
  <cellXfs count="205">
    <xf numFmtId="0" fontId="0" fillId="0" borderId="0" xfId="0">
      <alignment vertical="center"/>
    </xf>
    <xf numFmtId="0" fontId="0" fillId="0" borderId="13" xfId="0" applyBorder="1">
      <alignment vertical="center"/>
    </xf>
    <xf numFmtId="0" fontId="0" fillId="0" borderId="0" xfId="0" applyAlignment="1">
      <alignment horizontal="center" vertical="center"/>
    </xf>
    <xf numFmtId="0" fontId="5" fillId="0" borderId="0" xfId="0" applyFont="1">
      <alignment vertical="center"/>
    </xf>
    <xf numFmtId="0" fontId="3" fillId="0" borderId="0" xfId="0" applyFont="1">
      <alignment vertical="center"/>
    </xf>
    <xf numFmtId="0" fontId="0" fillId="0" borderId="9" xfId="0" applyBorder="1" applyAlignment="1">
      <alignment horizontal="right" vertical="center"/>
    </xf>
    <xf numFmtId="0" fontId="0" fillId="0" borderId="41" xfId="0" applyBorder="1" applyAlignment="1">
      <alignment horizontal="right" vertical="center"/>
    </xf>
    <xf numFmtId="0" fontId="14" fillId="0" borderId="63" xfId="0" applyFont="1" applyBorder="1" applyAlignment="1">
      <alignment horizontal="center" vertical="center"/>
    </xf>
    <xf numFmtId="0" fontId="14" fillId="0" borderId="56" xfId="0" applyFont="1" applyBorder="1" applyAlignment="1">
      <alignment horizontal="center" vertical="center"/>
    </xf>
    <xf numFmtId="0" fontId="0" fillId="6" borderId="1" xfId="0" applyFill="1" applyBorder="1">
      <alignment vertical="center"/>
    </xf>
    <xf numFmtId="0" fontId="0" fillId="7" borderId="1" xfId="0" applyFill="1" applyBorder="1">
      <alignment vertical="center"/>
    </xf>
    <xf numFmtId="0" fontId="21" fillId="0" borderId="1" xfId="0" applyFont="1" applyBorder="1" applyAlignment="1">
      <alignment horizontal="center" vertical="center"/>
    </xf>
    <xf numFmtId="0" fontId="22" fillId="6" borderId="63" xfId="0" applyFont="1" applyFill="1" applyBorder="1" applyAlignment="1">
      <alignment horizontal="center" vertical="center"/>
    </xf>
    <xf numFmtId="0" fontId="22" fillId="7" borderId="63" xfId="0" applyFont="1" applyFill="1" applyBorder="1" applyAlignment="1">
      <alignment horizontal="center" vertical="center"/>
    </xf>
    <xf numFmtId="0" fontId="22" fillId="0" borderId="63" xfId="0" applyFont="1" applyBorder="1" applyAlignment="1">
      <alignment horizontal="center" vertical="center"/>
    </xf>
    <xf numFmtId="0" fontId="14" fillId="0" borderId="63" xfId="0" applyFont="1" applyBorder="1">
      <alignment vertical="center"/>
    </xf>
    <xf numFmtId="0" fontId="14" fillId="0" borderId="64" xfId="0" applyFont="1" applyBorder="1" applyAlignment="1">
      <alignment horizontal="center"/>
    </xf>
    <xf numFmtId="0" fontId="14" fillId="0" borderId="63" xfId="0" applyFont="1" applyBorder="1" applyAlignment="1">
      <alignment horizontal="center"/>
    </xf>
    <xf numFmtId="177" fontId="14" fillId="0" borderId="63" xfId="0" applyNumberFormat="1" applyFont="1" applyBorder="1" applyAlignment="1">
      <alignment horizontal="center" vertical="center"/>
    </xf>
    <xf numFmtId="0" fontId="2" fillId="0" borderId="6" xfId="0" applyFont="1" applyBorder="1" applyAlignment="1">
      <alignment horizontal="left" vertical="center"/>
    </xf>
    <xf numFmtId="0" fontId="2" fillId="0" borderId="11" xfId="0" applyFont="1" applyBorder="1" applyAlignment="1">
      <alignment horizontal="left" vertical="center"/>
    </xf>
    <xf numFmtId="0" fontId="2" fillId="0" borderId="7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10" xfId="0" applyFont="1" applyBorder="1" applyAlignment="1">
      <alignment horizontal="left" vertical="center"/>
    </xf>
    <xf numFmtId="0" fontId="2" fillId="0" borderId="9" xfId="0" applyFont="1" applyBorder="1" applyAlignment="1">
      <alignment horizontal="left" vertical="center"/>
    </xf>
    <xf numFmtId="0" fontId="7" fillId="4" borderId="18" xfId="0" applyFont="1" applyFill="1" applyBorder="1" applyAlignment="1">
      <alignment horizontal="center" vertical="center" wrapText="1"/>
    </xf>
    <xf numFmtId="0" fontId="7" fillId="4" borderId="4" xfId="0" applyFont="1" applyFill="1" applyBorder="1" applyAlignment="1">
      <alignment horizontal="center" vertical="center" wrapText="1"/>
    </xf>
    <xf numFmtId="0" fontId="16" fillId="4" borderId="3" xfId="0" applyFont="1" applyFill="1" applyBorder="1" applyAlignment="1">
      <alignment horizontal="right" vertical="center"/>
    </xf>
    <xf numFmtId="0" fontId="16" fillId="4" borderId="5" xfId="0" applyFont="1" applyFill="1" applyBorder="1" applyAlignment="1">
      <alignment horizontal="right" vertical="center"/>
    </xf>
    <xf numFmtId="0" fontId="16" fillId="4" borderId="4" xfId="0" applyFont="1" applyFill="1" applyBorder="1" applyAlignment="1">
      <alignment horizontal="right" vertical="center"/>
    </xf>
    <xf numFmtId="0" fontId="14" fillId="4" borderId="6" xfId="0" applyFont="1" applyFill="1" applyBorder="1" applyAlignment="1">
      <alignment horizontal="center" vertical="center" wrapText="1"/>
    </xf>
    <xf numFmtId="0" fontId="14" fillId="4" borderId="51" xfId="0" applyFont="1" applyFill="1" applyBorder="1" applyAlignment="1">
      <alignment horizontal="center" vertical="center"/>
    </xf>
    <xf numFmtId="0" fontId="14" fillId="4" borderId="53" xfId="0" applyFont="1" applyFill="1" applyBorder="1" applyAlignment="1">
      <alignment horizontal="center" vertical="center"/>
    </xf>
    <xf numFmtId="0" fontId="14" fillId="4" borderId="52" xfId="0" applyFont="1" applyFill="1" applyBorder="1" applyAlignment="1">
      <alignment horizontal="center" vertical="center"/>
    </xf>
    <xf numFmtId="0" fontId="14" fillId="4" borderId="8" xfId="0" applyFont="1" applyFill="1" applyBorder="1" applyAlignment="1">
      <alignment horizontal="center" vertical="center"/>
    </xf>
    <xf numFmtId="0" fontId="14" fillId="4" borderId="26" xfId="0" applyFont="1" applyFill="1" applyBorder="1" applyAlignment="1">
      <alignment horizontal="center" vertical="center"/>
    </xf>
    <xf numFmtId="0" fontId="14" fillId="4" borderId="3" xfId="0" applyFont="1" applyFill="1" applyBorder="1" applyAlignment="1">
      <alignment horizontal="right" vertical="center"/>
    </xf>
    <xf numFmtId="0" fontId="14" fillId="4" borderId="5" xfId="0" applyFont="1" applyFill="1" applyBorder="1" applyAlignment="1">
      <alignment horizontal="right" vertical="center"/>
    </xf>
    <xf numFmtId="0" fontId="0" fillId="0" borderId="45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/>
    </xf>
    <xf numFmtId="0" fontId="7" fillId="2" borderId="21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33" xfId="0" applyFont="1" applyFill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32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7" fillId="4" borderId="18" xfId="0" applyFont="1" applyFill="1" applyBorder="1" applyAlignment="1">
      <alignment horizontal="center" vertical="center"/>
    </xf>
    <xf numFmtId="0" fontId="7" fillId="4" borderId="4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7" fillId="4" borderId="21" xfId="0" applyFont="1" applyFill="1" applyBorder="1" applyAlignment="1">
      <alignment horizontal="center" vertical="center"/>
    </xf>
    <xf numFmtId="0" fontId="15" fillId="4" borderId="1" xfId="0" applyFont="1" applyFill="1" applyBorder="1" applyAlignment="1">
      <alignment horizontal="center" vertical="center"/>
    </xf>
    <xf numFmtId="0" fontId="17" fillId="4" borderId="1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/>
    </xf>
    <xf numFmtId="0" fontId="4" fillId="3" borderId="32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4" fillId="3" borderId="33" xfId="0" applyFont="1" applyFill="1" applyBorder="1" applyAlignment="1">
      <alignment horizontal="center" vertical="center"/>
    </xf>
    <xf numFmtId="0" fontId="8" fillId="0" borderId="6" xfId="0" applyFont="1" applyBorder="1" applyAlignment="1">
      <alignment horizontal="right" vertical="center"/>
    </xf>
    <xf numFmtId="0" fontId="8" fillId="0" borderId="11" xfId="0" applyFont="1" applyBorder="1" applyAlignment="1">
      <alignment horizontal="right" vertical="center"/>
    </xf>
    <xf numFmtId="0" fontId="8" fillId="0" borderId="7" xfId="0" applyFont="1" applyBorder="1" applyAlignment="1">
      <alignment horizontal="right" vertical="center"/>
    </xf>
    <xf numFmtId="0" fontId="0" fillId="0" borderId="31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6" fillId="0" borderId="24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8" xfId="0" applyBorder="1" applyAlignment="1">
      <alignment horizontal="left" vertical="center"/>
    </xf>
    <xf numFmtId="0" fontId="7" fillId="2" borderId="30" xfId="0" applyFont="1" applyFill="1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39" xfId="0" applyBorder="1" applyAlignment="1">
      <alignment horizontal="left" vertical="center"/>
    </xf>
    <xf numFmtId="0" fontId="0" fillId="0" borderId="40" xfId="0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0" fillId="0" borderId="25" xfId="0" applyBorder="1" applyAlignment="1">
      <alignment horizontal="left" vertical="center"/>
    </xf>
    <xf numFmtId="0" fontId="0" fillId="0" borderId="40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7" fillId="2" borderId="36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0" fontId="7" fillId="2" borderId="12" xfId="0" applyFont="1" applyFill="1" applyBorder="1" applyAlignment="1">
      <alignment horizontal="center" vertical="center" wrapText="1"/>
    </xf>
    <xf numFmtId="0" fontId="0" fillId="0" borderId="10" xfId="0" applyBorder="1" applyAlignment="1">
      <alignment horizontal="left" vertical="center"/>
    </xf>
    <xf numFmtId="0" fontId="0" fillId="0" borderId="26" xfId="0" applyBorder="1" applyAlignment="1">
      <alignment horizontal="left" vertical="center"/>
    </xf>
    <xf numFmtId="0" fontId="0" fillId="0" borderId="38" xfId="0" applyBorder="1" applyAlignment="1">
      <alignment horizontal="right" vertical="center"/>
    </xf>
    <xf numFmtId="0" fontId="0" fillId="0" borderId="41" xfId="0" applyBorder="1" applyAlignment="1">
      <alignment horizontal="right" vertical="center"/>
    </xf>
    <xf numFmtId="0" fontId="0" fillId="0" borderId="10" xfId="0" applyBorder="1" applyAlignment="1">
      <alignment horizontal="right" vertical="center"/>
    </xf>
    <xf numFmtId="0" fontId="0" fillId="0" borderId="9" xfId="0" applyBorder="1" applyAlignment="1">
      <alignment horizontal="right" vertical="center"/>
    </xf>
    <xf numFmtId="0" fontId="0" fillId="0" borderId="39" xfId="0" applyBorder="1" applyAlignment="1">
      <alignment horizontal="right" vertical="center"/>
    </xf>
    <xf numFmtId="0" fontId="0" fillId="0" borderId="31" xfId="0" applyBorder="1" applyAlignment="1">
      <alignment horizontal="right" vertical="center"/>
    </xf>
    <xf numFmtId="0" fontId="0" fillId="0" borderId="6" xfId="0" applyBorder="1" applyAlignment="1">
      <alignment horizontal="right" vertical="center"/>
    </xf>
    <xf numFmtId="0" fontId="0" fillId="0" borderId="11" xfId="0" applyBorder="1" applyAlignment="1">
      <alignment horizontal="right" vertical="center"/>
    </xf>
    <xf numFmtId="0" fontId="0" fillId="0" borderId="7" xfId="0" applyBorder="1" applyAlignment="1">
      <alignment horizontal="right" vertical="center"/>
    </xf>
    <xf numFmtId="0" fontId="0" fillId="0" borderId="8" xfId="0" applyBorder="1" applyAlignment="1">
      <alignment horizontal="right" vertical="center"/>
    </xf>
    <xf numFmtId="177" fontId="0" fillId="0" borderId="6" xfId="0" applyNumberFormat="1" applyBorder="1" applyAlignment="1">
      <alignment horizontal="right" vertical="center"/>
    </xf>
    <xf numFmtId="177" fontId="0" fillId="0" borderId="11" xfId="0" applyNumberFormat="1" applyBorder="1" applyAlignment="1">
      <alignment horizontal="right" vertical="center"/>
    </xf>
    <xf numFmtId="177" fontId="0" fillId="0" borderId="7" xfId="0" applyNumberFormat="1" applyBorder="1" applyAlignment="1">
      <alignment horizontal="right" vertical="center"/>
    </xf>
    <xf numFmtId="177" fontId="0" fillId="0" borderId="8" xfId="0" applyNumberFormat="1" applyBorder="1" applyAlignment="1">
      <alignment horizontal="right" vertical="center"/>
    </xf>
    <xf numFmtId="177" fontId="0" fillId="0" borderId="10" xfId="0" applyNumberFormat="1" applyBorder="1" applyAlignment="1">
      <alignment horizontal="right" vertical="center"/>
    </xf>
    <xf numFmtId="177" fontId="0" fillId="0" borderId="9" xfId="0" applyNumberFormat="1" applyBorder="1" applyAlignment="1">
      <alignment horizontal="right" vertical="center"/>
    </xf>
    <xf numFmtId="0" fontId="8" fillId="0" borderId="8" xfId="0" applyFont="1" applyBorder="1" applyAlignment="1">
      <alignment horizontal="right" vertical="center"/>
    </xf>
    <xf numFmtId="0" fontId="8" fillId="0" borderId="10" xfId="0" applyFont="1" applyBorder="1" applyAlignment="1">
      <alignment horizontal="right" vertical="center"/>
    </xf>
    <xf numFmtId="0" fontId="8" fillId="0" borderId="9" xfId="0" applyFont="1" applyBorder="1" applyAlignment="1">
      <alignment horizontal="right" vertical="center"/>
    </xf>
    <xf numFmtId="0" fontId="8" fillId="0" borderId="3" xfId="0" applyFont="1" applyBorder="1" applyAlignment="1">
      <alignment horizontal="right" vertical="center"/>
    </xf>
    <xf numFmtId="0" fontId="8" fillId="0" borderId="4" xfId="0" applyFont="1" applyBorder="1" applyAlignment="1">
      <alignment horizontal="right" vertical="center"/>
    </xf>
    <xf numFmtId="0" fontId="8" fillId="0" borderId="19" xfId="0" applyFont="1" applyBorder="1" applyAlignment="1">
      <alignment horizontal="right" vertical="center"/>
    </xf>
    <xf numFmtId="0" fontId="8" fillId="0" borderId="1" xfId="0" applyFont="1" applyBorder="1" applyAlignment="1">
      <alignment horizontal="right" vertical="center"/>
    </xf>
    <xf numFmtId="0" fontId="2" fillId="0" borderId="21" xfId="0" applyFont="1" applyBorder="1" applyAlignment="1">
      <alignment horizontal="right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16" fillId="4" borderId="0" xfId="0" applyFont="1" applyFill="1" applyAlignment="1">
      <alignment horizontal="right" vertical="center"/>
    </xf>
    <xf numFmtId="0" fontId="6" fillId="0" borderId="37" xfId="0" applyFont="1" applyBorder="1" applyAlignment="1">
      <alignment horizontal="center" vertical="center"/>
    </xf>
    <xf numFmtId="0" fontId="6" fillId="0" borderId="38" xfId="0" applyFont="1" applyBorder="1" applyAlignment="1">
      <alignment horizontal="center" vertical="center"/>
    </xf>
    <xf numFmtId="0" fontId="0" fillId="0" borderId="14" xfId="0" applyBorder="1" applyAlignment="1">
      <alignment horizontal="left" vertical="center" wrapText="1"/>
    </xf>
    <xf numFmtId="0" fontId="7" fillId="4" borderId="5" xfId="0" applyFont="1" applyFill="1" applyBorder="1" applyAlignment="1">
      <alignment horizontal="center" vertical="center" wrapText="1"/>
    </xf>
    <xf numFmtId="0" fontId="7" fillId="2" borderId="22" xfId="0" applyFont="1" applyFill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  <xf numFmtId="0" fontId="0" fillId="0" borderId="29" xfId="0" applyBorder="1" applyAlignment="1">
      <alignment horizontal="center" vertical="center" wrapText="1"/>
    </xf>
    <xf numFmtId="0" fontId="0" fillId="0" borderId="51" xfId="0" applyBorder="1" applyAlignment="1">
      <alignment horizontal="right" vertical="center"/>
    </xf>
    <xf numFmtId="0" fontId="0" fillId="0" borderId="54" xfId="0" applyBorder="1" applyAlignment="1">
      <alignment horizontal="right" vertical="center"/>
    </xf>
    <xf numFmtId="0" fontId="0" fillId="0" borderId="28" xfId="0" applyBorder="1" applyAlignment="1">
      <alignment horizontal="right" vertical="center"/>
    </xf>
    <xf numFmtId="0" fontId="0" fillId="0" borderId="55" xfId="0" applyBorder="1" applyAlignment="1">
      <alignment horizontal="right" vertical="center"/>
    </xf>
    <xf numFmtId="0" fontId="7" fillId="2" borderId="34" xfId="0" applyFont="1" applyFill="1" applyBorder="1" applyAlignment="1">
      <alignment horizontal="center" vertical="center"/>
    </xf>
    <xf numFmtId="0" fontId="7" fillId="2" borderId="31" xfId="0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/>
    </xf>
    <xf numFmtId="0" fontId="0" fillId="0" borderId="49" xfId="0" applyBorder="1" applyAlignment="1">
      <alignment horizontal="left" vertical="center" wrapText="1"/>
    </xf>
    <xf numFmtId="0" fontId="0" fillId="0" borderId="12" xfId="0" applyBorder="1" applyAlignment="1">
      <alignment horizontal="left" vertical="center"/>
    </xf>
    <xf numFmtId="0" fontId="0" fillId="0" borderId="50" xfId="0" applyBorder="1" applyAlignment="1">
      <alignment horizontal="left" vertical="center"/>
    </xf>
    <xf numFmtId="0" fontId="0" fillId="0" borderId="49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7" fillId="2" borderId="43" xfId="0" applyFont="1" applyFill="1" applyBorder="1" applyAlignment="1">
      <alignment horizontal="center" vertical="center"/>
    </xf>
    <xf numFmtId="0" fontId="10" fillId="0" borderId="38" xfId="0" applyFont="1" applyBorder="1" applyAlignment="1">
      <alignment horizontal="center" vertical="center"/>
    </xf>
    <xf numFmtId="0" fontId="10" fillId="0" borderId="42" xfId="0" applyFont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4" fillId="3" borderId="15" xfId="0" applyFont="1" applyFill="1" applyBorder="1" applyAlignment="1">
      <alignment horizontal="center" vertical="center"/>
    </xf>
    <xf numFmtId="0" fontId="4" fillId="3" borderId="16" xfId="0" applyFont="1" applyFill="1" applyBorder="1" applyAlignment="1">
      <alignment horizontal="center" vertical="center"/>
    </xf>
    <xf numFmtId="0" fontId="4" fillId="3" borderId="17" xfId="0" applyFont="1" applyFill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0" fillId="0" borderId="1" xfId="0" applyBorder="1" applyAlignment="1">
      <alignment horizontal="right" vertical="center"/>
    </xf>
    <xf numFmtId="0" fontId="0" fillId="0" borderId="21" xfId="0" applyBorder="1" applyAlignment="1">
      <alignment horizontal="right" vertical="center"/>
    </xf>
    <xf numFmtId="0" fontId="19" fillId="0" borderId="28" xfId="0" applyFont="1" applyBorder="1" applyAlignment="1">
      <alignment horizontal="center" vertical="center"/>
    </xf>
    <xf numFmtId="0" fontId="13" fillId="0" borderId="28" xfId="0" applyFont="1" applyBorder="1" applyAlignment="1">
      <alignment horizontal="center" vertical="center"/>
    </xf>
    <xf numFmtId="176" fontId="3" fillId="0" borderId="28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7" fillId="2" borderId="19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7" fillId="2" borderId="23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7" fillId="2" borderId="24" xfId="0" applyFont="1" applyFill="1" applyBorder="1" applyAlignment="1">
      <alignment horizontal="center" vertical="center" wrapText="1"/>
    </xf>
    <xf numFmtId="0" fontId="7" fillId="2" borderId="9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7" fillId="2" borderId="8" xfId="0" applyFont="1" applyFill="1" applyBorder="1" applyAlignment="1">
      <alignment horizontal="center" vertical="center" wrapText="1"/>
    </xf>
    <xf numFmtId="0" fontId="7" fillId="2" borderId="9" xfId="0" applyFont="1" applyFill="1" applyBorder="1" applyAlignment="1">
      <alignment horizontal="center" vertical="center"/>
    </xf>
    <xf numFmtId="0" fontId="14" fillId="0" borderId="64" xfId="0" applyFont="1" applyBorder="1" applyAlignment="1">
      <alignment horizontal="center" vertical="center"/>
    </xf>
    <xf numFmtId="0" fontId="14" fillId="0" borderId="63" xfId="0" applyFont="1" applyBorder="1" applyAlignment="1">
      <alignment horizontal="center" vertical="center"/>
    </xf>
    <xf numFmtId="177" fontId="14" fillId="0" borderId="64" xfId="0" applyNumberFormat="1" applyFont="1" applyBorder="1" applyAlignment="1">
      <alignment horizontal="center" vertical="center"/>
    </xf>
    <xf numFmtId="177" fontId="14" fillId="0" borderId="63" xfId="0" applyNumberFormat="1" applyFont="1" applyBorder="1" applyAlignment="1">
      <alignment horizontal="center" vertical="center"/>
    </xf>
    <xf numFmtId="178" fontId="14" fillId="0" borderId="64" xfId="0" applyNumberFormat="1" applyFont="1" applyBorder="1" applyAlignment="1">
      <alignment horizontal="center" vertical="center"/>
    </xf>
    <xf numFmtId="178" fontId="14" fillId="0" borderId="63" xfId="0" applyNumberFormat="1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 wrapText="1"/>
    </xf>
    <xf numFmtId="0" fontId="3" fillId="0" borderId="30" xfId="0" applyFont="1" applyBorder="1" applyAlignment="1">
      <alignment horizontal="center" vertical="center" wrapText="1"/>
    </xf>
    <xf numFmtId="0" fontId="3" fillId="0" borderId="31" xfId="0" applyFont="1" applyBorder="1" applyAlignment="1">
      <alignment horizontal="center" vertical="center" wrapText="1"/>
    </xf>
    <xf numFmtId="0" fontId="4" fillId="0" borderId="57" xfId="0" applyFont="1" applyBorder="1" applyAlignment="1">
      <alignment horizontal="center" vertical="center"/>
    </xf>
    <xf numFmtId="0" fontId="4" fillId="0" borderId="58" xfId="0" applyFont="1" applyBorder="1" applyAlignment="1">
      <alignment horizontal="center" vertical="center"/>
    </xf>
    <xf numFmtId="0" fontId="4" fillId="0" borderId="59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4" fillId="0" borderId="55" xfId="0" applyFont="1" applyBorder="1" applyAlignment="1">
      <alignment horizontal="center" vertical="center"/>
    </xf>
    <xf numFmtId="0" fontId="20" fillId="5" borderId="57" xfId="1" applyFont="1" applyBorder="1" applyAlignment="1">
      <alignment horizontal="center" vertical="center"/>
    </xf>
    <xf numFmtId="0" fontId="20" fillId="5" borderId="58" xfId="1" applyFont="1" applyBorder="1" applyAlignment="1">
      <alignment horizontal="center" vertical="center"/>
    </xf>
    <xf numFmtId="0" fontId="20" fillId="5" borderId="59" xfId="1" applyFont="1" applyBorder="1" applyAlignment="1">
      <alignment horizontal="center" vertical="center"/>
    </xf>
    <xf numFmtId="0" fontId="20" fillId="5" borderId="27" xfId="1" applyFont="1" applyBorder="1" applyAlignment="1">
      <alignment horizontal="center" vertical="center"/>
    </xf>
    <xf numFmtId="0" fontId="20" fillId="5" borderId="28" xfId="1" applyFont="1" applyBorder="1" applyAlignment="1">
      <alignment horizontal="center" vertical="center"/>
    </xf>
    <xf numFmtId="0" fontId="20" fillId="5" borderId="55" xfId="1" applyFont="1" applyBorder="1" applyAlignment="1">
      <alignment horizontal="center" vertical="center"/>
    </xf>
    <xf numFmtId="177" fontId="14" fillId="0" borderId="64" xfId="3" applyNumberFormat="1" applyFont="1" applyBorder="1" applyAlignment="1">
      <alignment horizontal="center" vertical="center"/>
    </xf>
    <xf numFmtId="177" fontId="14" fillId="0" borderId="63" xfId="3" applyNumberFormat="1" applyFont="1" applyBorder="1" applyAlignment="1">
      <alignment horizontal="center" vertical="center"/>
    </xf>
    <xf numFmtId="0" fontId="25" fillId="8" borderId="60" xfId="2" applyFont="1" applyBorder="1" applyAlignment="1">
      <alignment horizontal="center" vertical="center"/>
    </xf>
    <xf numFmtId="0" fontId="25" fillId="8" borderId="62" xfId="2" applyFont="1" applyBorder="1" applyAlignment="1">
      <alignment horizontal="center" vertical="center"/>
    </xf>
    <xf numFmtId="0" fontId="25" fillId="8" borderId="61" xfId="2" applyFont="1" applyBorder="1" applyAlignment="1">
      <alignment horizontal="center" vertical="center"/>
    </xf>
    <xf numFmtId="177" fontId="14" fillId="0" borderId="64" xfId="0" applyNumberFormat="1" applyFont="1" applyBorder="1" applyAlignment="1">
      <alignment horizontal="center" vertical="center" wrapText="1"/>
    </xf>
    <xf numFmtId="177" fontId="14" fillId="0" borderId="63" xfId="0" applyNumberFormat="1" applyFont="1" applyBorder="1" applyAlignment="1">
      <alignment horizontal="center" vertical="center" wrapText="1"/>
    </xf>
  </cellXfs>
  <cellStyles count="4">
    <cellStyle name="나쁨" xfId="2" builtinId="27"/>
    <cellStyle name="보통" xfId="1" builtinId="28"/>
    <cellStyle name="통화 [0]" xfId="3" builtinId="7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C41"/>
  <sheetViews>
    <sheetView showGridLines="0" tabSelected="1" topLeftCell="B1" zoomScale="85" zoomScaleNormal="85" workbookViewId="0">
      <selection activeCell="W18" sqref="W18"/>
    </sheetView>
  </sheetViews>
  <sheetFormatPr defaultRowHeight="16.5" x14ac:dyDescent="0.3"/>
  <cols>
    <col min="2" max="2" width="5.25" customWidth="1"/>
    <col min="3" max="3" width="5.75" customWidth="1"/>
    <col min="4" max="5" width="5.25" customWidth="1"/>
    <col min="6" max="6" width="5.5" customWidth="1"/>
    <col min="7" max="7" width="5.25" customWidth="1"/>
    <col min="8" max="8" width="6.75" customWidth="1"/>
    <col min="9" max="10" width="5.25" customWidth="1"/>
    <col min="11" max="11" width="6.75" customWidth="1"/>
    <col min="12" max="16" width="5.25" customWidth="1"/>
    <col min="17" max="17" width="5.875" customWidth="1"/>
    <col min="18" max="20" width="5.25" customWidth="1"/>
    <col min="21" max="21" width="5.75" customWidth="1"/>
    <col min="23" max="23" width="16.25" customWidth="1"/>
    <col min="24" max="24" width="16.625" customWidth="1"/>
    <col min="25" max="26" width="15.75" customWidth="1"/>
    <col min="27" max="27" width="24.875" customWidth="1"/>
    <col min="28" max="29" width="19.625" customWidth="1"/>
  </cols>
  <sheetData>
    <row r="1" spans="2:29" ht="26.25" customHeight="1" x14ac:dyDescent="0.3"/>
    <row r="2" spans="2:29" ht="22.5" customHeight="1" thickBot="1" x14ac:dyDescent="0.35">
      <c r="B2" s="151" t="s">
        <v>19</v>
      </c>
      <c r="C2" s="151"/>
      <c r="D2" s="151"/>
      <c r="E2" s="151"/>
      <c r="F2" s="151"/>
      <c r="G2" s="151"/>
      <c r="H2" s="151"/>
      <c r="I2" s="151"/>
      <c r="J2" s="151"/>
      <c r="K2" s="151"/>
      <c r="L2" s="151"/>
      <c r="M2" s="3"/>
      <c r="N2" s="4"/>
      <c r="O2" s="183" t="s">
        <v>45</v>
      </c>
      <c r="P2" s="165" t="s">
        <v>42</v>
      </c>
      <c r="Q2" s="163"/>
      <c r="R2" s="163" t="s">
        <v>43</v>
      </c>
      <c r="S2" s="163"/>
      <c r="T2" s="163" t="s">
        <v>44</v>
      </c>
      <c r="U2" s="163"/>
    </row>
    <row r="3" spans="2:29" ht="45.75" customHeight="1" x14ac:dyDescent="0.3">
      <c r="B3" s="151"/>
      <c r="C3" s="151"/>
      <c r="D3" s="151"/>
      <c r="E3" s="151"/>
      <c r="F3" s="151"/>
      <c r="G3" s="151"/>
      <c r="H3" s="151"/>
      <c r="I3" s="151"/>
      <c r="J3" s="151"/>
      <c r="K3" s="151"/>
      <c r="L3" s="151"/>
      <c r="M3" s="3"/>
      <c r="O3" s="184"/>
      <c r="P3" s="56"/>
      <c r="Q3" s="39"/>
      <c r="R3" s="166"/>
      <c r="S3" s="167"/>
      <c r="T3" s="39"/>
      <c r="U3" s="39"/>
      <c r="W3" s="186" t="s">
        <v>77</v>
      </c>
      <c r="X3" s="187"/>
      <c r="Y3" s="187"/>
      <c r="Z3" s="187"/>
      <c r="AA3" s="187"/>
      <c r="AB3" s="187"/>
      <c r="AC3" s="188"/>
    </row>
    <row r="4" spans="2:29" ht="25.5" customHeight="1" thickBot="1" x14ac:dyDescent="0.35">
      <c r="B4" s="151"/>
      <c r="C4" s="151"/>
      <c r="D4" s="151"/>
      <c r="E4" s="151"/>
      <c r="F4" s="151"/>
      <c r="G4" s="151"/>
      <c r="H4" s="151"/>
      <c r="I4" s="151"/>
      <c r="J4" s="151"/>
      <c r="K4" s="151"/>
      <c r="L4" s="151"/>
      <c r="M4" s="3"/>
      <c r="O4" s="185"/>
      <c r="P4" s="56"/>
      <c r="Q4" s="39"/>
      <c r="R4" s="167"/>
      <c r="S4" s="167"/>
      <c r="T4" s="39"/>
      <c r="U4" s="39"/>
      <c r="W4" s="189"/>
      <c r="X4" s="190"/>
      <c r="Y4" s="190"/>
      <c r="Z4" s="190"/>
      <c r="AA4" s="190"/>
      <c r="AB4" s="190"/>
      <c r="AC4" s="191"/>
    </row>
    <row r="5" spans="2:29" ht="12.75" customHeight="1" x14ac:dyDescent="0.3"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W5" s="192" t="s">
        <v>80</v>
      </c>
      <c r="X5" s="193"/>
      <c r="Y5" s="193"/>
      <c r="Z5" s="193"/>
      <c r="AA5" s="193"/>
      <c r="AB5" s="193"/>
      <c r="AC5" s="194"/>
    </row>
    <row r="6" spans="2:29" ht="25.5" customHeight="1" thickBot="1" x14ac:dyDescent="0.35">
      <c r="B6" s="162">
        <f>DATE(2024,1,14)</f>
        <v>45305</v>
      </c>
      <c r="C6" s="162"/>
      <c r="D6" s="162"/>
      <c r="E6" s="162"/>
      <c r="F6" s="162"/>
      <c r="G6" s="162"/>
      <c r="H6" s="162"/>
      <c r="I6" s="162"/>
      <c r="J6" s="160" t="s">
        <v>76</v>
      </c>
      <c r="K6" s="161"/>
      <c r="L6" s="161"/>
      <c r="M6" s="161"/>
      <c r="N6" s="161"/>
      <c r="O6" s="161"/>
      <c r="P6" s="161"/>
      <c r="Q6" s="161"/>
      <c r="R6" s="161"/>
      <c r="S6" s="161"/>
      <c r="T6" s="161"/>
      <c r="U6" s="161"/>
      <c r="W6" s="195"/>
      <c r="X6" s="196"/>
      <c r="Y6" s="196"/>
      <c r="Z6" s="196"/>
      <c r="AA6" s="196"/>
      <c r="AB6" s="196"/>
      <c r="AC6" s="197"/>
    </row>
    <row r="7" spans="2:29" ht="34.5" customHeight="1" thickBot="1" x14ac:dyDescent="0.35">
      <c r="B7" s="152" t="s">
        <v>9</v>
      </c>
      <c r="C7" s="153"/>
      <c r="D7" s="153"/>
      <c r="E7" s="153"/>
      <c r="F7" s="153"/>
      <c r="G7" s="153"/>
      <c r="H7" s="153"/>
      <c r="I7" s="153"/>
      <c r="J7" s="153"/>
      <c r="K7" s="153"/>
      <c r="L7" s="153"/>
      <c r="M7" s="153"/>
      <c r="N7" s="153"/>
      <c r="O7" s="153"/>
      <c r="P7" s="153"/>
      <c r="Q7" s="153"/>
      <c r="R7" s="153"/>
      <c r="S7" s="153"/>
      <c r="T7" s="153"/>
      <c r="U7" s="154"/>
      <c r="W7" s="200" t="s">
        <v>87</v>
      </c>
      <c r="X7" s="201"/>
      <c r="Y7" s="201"/>
      <c r="Z7" s="201"/>
      <c r="AA7" s="201"/>
      <c r="AB7" s="201"/>
      <c r="AC7" s="202"/>
    </row>
    <row r="8" spans="2:29" ht="33.75" customHeight="1" thickBot="1" x14ac:dyDescent="0.35">
      <c r="B8" s="155" t="s">
        <v>20</v>
      </c>
      <c r="C8" s="156"/>
      <c r="D8" s="156"/>
      <c r="E8" s="157"/>
      <c r="F8" s="51" t="s">
        <v>10</v>
      </c>
      <c r="G8" s="156"/>
      <c r="H8" s="157"/>
      <c r="I8" s="51" t="s">
        <v>11</v>
      </c>
      <c r="J8" s="156"/>
      <c r="K8" s="157"/>
      <c r="L8" s="51" t="s">
        <v>12</v>
      </c>
      <c r="M8" s="156"/>
      <c r="N8" s="157"/>
      <c r="O8" s="51" t="s">
        <v>46</v>
      </c>
      <c r="P8" s="156"/>
      <c r="Q8" s="157"/>
      <c r="R8" s="51" t="s">
        <v>13</v>
      </c>
      <c r="S8" s="156"/>
      <c r="T8" s="156"/>
      <c r="U8" s="164"/>
      <c r="W8" s="13" t="s">
        <v>83</v>
      </c>
      <c r="X8" s="13" t="s">
        <v>78</v>
      </c>
      <c r="Y8" s="12" t="s">
        <v>84</v>
      </c>
      <c r="Z8" s="12" t="s">
        <v>89</v>
      </c>
      <c r="AA8" s="14" t="s">
        <v>79</v>
      </c>
      <c r="AB8" s="12" t="s">
        <v>82</v>
      </c>
      <c r="AC8" s="12" t="s">
        <v>85</v>
      </c>
    </row>
    <row r="9" spans="2:29" ht="25.15" customHeight="1" x14ac:dyDescent="0.3">
      <c r="B9" s="168" t="s">
        <v>21</v>
      </c>
      <c r="C9" s="89"/>
      <c r="D9" s="89"/>
      <c r="E9" s="89"/>
      <c r="F9" s="99">
        <f>W9</f>
        <v>1238.4000000000001</v>
      </c>
      <c r="G9" s="100"/>
      <c r="H9" s="101"/>
      <c r="I9" s="99">
        <f>X9</f>
        <v>1267.2</v>
      </c>
      <c r="J9" s="100"/>
      <c r="K9" s="101"/>
      <c r="L9" s="99">
        <f>AA9</f>
        <v>-28.799999999999955</v>
      </c>
      <c r="M9" s="100"/>
      <c r="N9" s="101"/>
      <c r="O9" s="99">
        <f>Y9</f>
        <v>1238.4000000000001</v>
      </c>
      <c r="P9" s="100"/>
      <c r="Q9" s="101"/>
      <c r="R9" s="158">
        <f>AB9</f>
        <v>29405</v>
      </c>
      <c r="S9" s="158"/>
      <c r="T9" s="158"/>
      <c r="U9" s="159"/>
      <c r="W9" s="203">
        <v>1238.4000000000001</v>
      </c>
      <c r="X9" s="203">
        <v>1267.2</v>
      </c>
      <c r="Y9" s="16">
        <f>W9</f>
        <v>1238.4000000000001</v>
      </c>
      <c r="Z9" s="16">
        <v>1267.2</v>
      </c>
      <c r="AA9" s="177">
        <f>W9-X9</f>
        <v>-28.799999999999955</v>
      </c>
      <c r="AB9" s="16">
        <f>AC9+Y9</f>
        <v>29405</v>
      </c>
      <c r="AC9" s="16">
        <v>28166.6</v>
      </c>
    </row>
    <row r="10" spans="2:29" ht="25.15" customHeight="1" thickBot="1" x14ac:dyDescent="0.35">
      <c r="B10" s="168"/>
      <c r="C10" s="89"/>
      <c r="D10" s="89"/>
      <c r="E10" s="89"/>
      <c r="F10" s="102"/>
      <c r="G10" s="95"/>
      <c r="H10" s="96"/>
      <c r="I10" s="102"/>
      <c r="J10" s="95"/>
      <c r="K10" s="96"/>
      <c r="L10" s="102"/>
      <c r="M10" s="95"/>
      <c r="N10" s="96"/>
      <c r="O10" s="102"/>
      <c r="P10" s="95"/>
      <c r="Q10" s="96"/>
      <c r="R10" s="158"/>
      <c r="S10" s="158"/>
      <c r="T10" s="158"/>
      <c r="U10" s="159"/>
      <c r="W10" s="204"/>
      <c r="X10" s="204"/>
      <c r="Y10" s="17"/>
      <c r="Z10" s="17"/>
      <c r="AA10" s="178"/>
      <c r="AB10" s="15"/>
      <c r="AC10" s="7"/>
    </row>
    <row r="11" spans="2:29" ht="25.15" customHeight="1" x14ac:dyDescent="0.3">
      <c r="B11" s="124" t="s">
        <v>22</v>
      </c>
      <c r="C11" s="169"/>
      <c r="D11" s="174" t="s">
        <v>1</v>
      </c>
      <c r="E11" s="169"/>
      <c r="F11" s="99">
        <f>W11</f>
        <v>1245.5999999999999</v>
      </c>
      <c r="G11" s="100"/>
      <c r="H11" s="101"/>
      <c r="I11" s="99">
        <f>X11</f>
        <v>1245.4000000000001</v>
      </c>
      <c r="J11" s="100"/>
      <c r="K11" s="101"/>
      <c r="L11" s="103">
        <f>AA11</f>
        <v>-0.1000000000003638</v>
      </c>
      <c r="M11" s="104"/>
      <c r="N11" s="105"/>
      <c r="O11" s="99">
        <f>Y11</f>
        <v>0.1999999999998181</v>
      </c>
      <c r="P11" s="100"/>
      <c r="Q11" s="101"/>
      <c r="R11" s="158">
        <f>AB11</f>
        <v>5.4999999999998179</v>
      </c>
      <c r="S11" s="158"/>
      <c r="T11" s="158"/>
      <c r="U11" s="159"/>
      <c r="W11" s="179">
        <v>1245.5999999999999</v>
      </c>
      <c r="X11" s="179">
        <v>1245.4000000000001</v>
      </c>
      <c r="Y11" s="16">
        <f>W11-X11</f>
        <v>0.1999999999998181</v>
      </c>
      <c r="Z11" s="16">
        <v>0.3000000000001819</v>
      </c>
      <c r="AA11" s="179">
        <f>Y11-Z11</f>
        <v>-0.1000000000003638</v>
      </c>
      <c r="AB11" s="16">
        <f>AC11+Y11</f>
        <v>5.4999999999998179</v>
      </c>
      <c r="AC11" s="16">
        <v>5.3</v>
      </c>
    </row>
    <row r="12" spans="2:29" ht="25.15" customHeight="1" thickBot="1" x14ac:dyDescent="0.35">
      <c r="B12" s="170"/>
      <c r="C12" s="171"/>
      <c r="D12" s="175"/>
      <c r="E12" s="173"/>
      <c r="F12" s="102"/>
      <c r="G12" s="95"/>
      <c r="H12" s="96"/>
      <c r="I12" s="102"/>
      <c r="J12" s="95"/>
      <c r="K12" s="96"/>
      <c r="L12" s="106"/>
      <c r="M12" s="107"/>
      <c r="N12" s="108"/>
      <c r="O12" s="102"/>
      <c r="P12" s="95"/>
      <c r="Q12" s="96"/>
      <c r="R12" s="158"/>
      <c r="S12" s="158"/>
      <c r="T12" s="158"/>
      <c r="U12" s="159"/>
      <c r="W12" s="180"/>
      <c r="X12" s="180"/>
      <c r="Y12" s="17"/>
      <c r="Z12" s="17"/>
      <c r="AA12" s="180"/>
      <c r="AB12" s="7"/>
      <c r="AC12" s="7"/>
    </row>
    <row r="13" spans="2:29" ht="24.75" customHeight="1" x14ac:dyDescent="0.3">
      <c r="B13" s="170"/>
      <c r="C13" s="171"/>
      <c r="D13" s="53" t="s">
        <v>23</v>
      </c>
      <c r="E13" s="47"/>
      <c r="F13" s="99">
        <f>W13</f>
        <v>1103.0999999999999</v>
      </c>
      <c r="G13" s="100"/>
      <c r="H13" s="101"/>
      <c r="I13" s="99">
        <f>X13</f>
        <v>1103.0999999999999</v>
      </c>
      <c r="J13" s="100"/>
      <c r="K13" s="101"/>
      <c r="L13" s="103">
        <f>AA13</f>
        <v>0</v>
      </c>
      <c r="M13" s="104"/>
      <c r="N13" s="105"/>
      <c r="O13" s="99">
        <f>Y13</f>
        <v>0</v>
      </c>
      <c r="P13" s="100"/>
      <c r="Q13" s="101"/>
      <c r="R13" s="158">
        <f>AB13</f>
        <v>9.7999999999998177</v>
      </c>
      <c r="S13" s="158"/>
      <c r="T13" s="158"/>
      <c r="U13" s="159"/>
      <c r="W13" s="179">
        <v>1103.0999999999999</v>
      </c>
      <c r="X13" s="179">
        <v>1103.0999999999999</v>
      </c>
      <c r="Y13" s="16">
        <f>W13-X13</f>
        <v>0</v>
      </c>
      <c r="Z13" s="16">
        <v>0</v>
      </c>
      <c r="AA13" s="198">
        <f>Y13-Z13</f>
        <v>0</v>
      </c>
      <c r="AB13" s="16">
        <f>AC13+Y13</f>
        <v>9.7999999999998177</v>
      </c>
      <c r="AC13" s="16">
        <v>9.7999999999998177</v>
      </c>
    </row>
    <row r="14" spans="2:29" ht="25.15" customHeight="1" thickBot="1" x14ac:dyDescent="0.35">
      <c r="B14" s="172"/>
      <c r="C14" s="173"/>
      <c r="D14" s="136"/>
      <c r="E14" s="176"/>
      <c r="F14" s="102"/>
      <c r="G14" s="95"/>
      <c r="H14" s="96"/>
      <c r="I14" s="102"/>
      <c r="J14" s="95"/>
      <c r="K14" s="96"/>
      <c r="L14" s="106"/>
      <c r="M14" s="107"/>
      <c r="N14" s="108"/>
      <c r="O14" s="102"/>
      <c r="P14" s="95"/>
      <c r="Q14" s="96"/>
      <c r="R14" s="158"/>
      <c r="S14" s="158"/>
      <c r="T14" s="158"/>
      <c r="U14" s="159"/>
      <c r="W14" s="180"/>
      <c r="X14" s="180"/>
      <c r="Y14" s="17"/>
      <c r="Z14" s="17"/>
      <c r="AA14" s="199"/>
      <c r="AB14" s="17"/>
      <c r="AC14" s="7"/>
    </row>
    <row r="15" spans="2:29" ht="25.15" customHeight="1" x14ac:dyDescent="0.3">
      <c r="B15" s="50" t="s">
        <v>24</v>
      </c>
      <c r="C15" s="45"/>
      <c r="D15" s="45"/>
      <c r="E15" s="45"/>
      <c r="F15" s="68">
        <f>W15</f>
        <v>74395</v>
      </c>
      <c r="G15" s="69"/>
      <c r="H15" s="70"/>
      <c r="I15" s="68">
        <f>X15</f>
        <v>74368</v>
      </c>
      <c r="J15" s="69"/>
      <c r="K15" s="70"/>
      <c r="L15" s="68">
        <f>AA15</f>
        <v>12</v>
      </c>
      <c r="M15" s="69"/>
      <c r="N15" s="70"/>
      <c r="O15" s="68">
        <f>Y15</f>
        <v>27</v>
      </c>
      <c r="P15" s="69"/>
      <c r="Q15" s="70"/>
      <c r="R15" s="115">
        <f>AB15</f>
        <v>553</v>
      </c>
      <c r="S15" s="115"/>
      <c r="T15" s="115"/>
      <c r="U15" s="116"/>
      <c r="W15" s="181">
        <v>74395</v>
      </c>
      <c r="X15" s="181">
        <v>74368</v>
      </c>
      <c r="Y15" s="16">
        <f>W15-X15</f>
        <v>27</v>
      </c>
      <c r="Z15" s="16">
        <v>15</v>
      </c>
      <c r="AA15" s="177">
        <f>Y15-Z15</f>
        <v>12</v>
      </c>
      <c r="AB15" s="16">
        <f>AC15+Y15</f>
        <v>553</v>
      </c>
      <c r="AC15" s="16">
        <v>526</v>
      </c>
    </row>
    <row r="16" spans="2:29" ht="25.15" customHeight="1" thickBot="1" x14ac:dyDescent="0.35">
      <c r="B16" s="50"/>
      <c r="C16" s="45"/>
      <c r="D16" s="45"/>
      <c r="E16" s="45"/>
      <c r="F16" s="109"/>
      <c r="G16" s="110"/>
      <c r="H16" s="111"/>
      <c r="I16" s="109"/>
      <c r="J16" s="110"/>
      <c r="K16" s="111"/>
      <c r="L16" s="109"/>
      <c r="M16" s="110"/>
      <c r="N16" s="111"/>
      <c r="O16" s="109"/>
      <c r="P16" s="110"/>
      <c r="Q16" s="111"/>
      <c r="R16" s="115"/>
      <c r="S16" s="115"/>
      <c r="T16" s="115"/>
      <c r="U16" s="116"/>
      <c r="W16" s="182"/>
      <c r="X16" s="182"/>
      <c r="Y16" s="17"/>
      <c r="Z16" s="17"/>
      <c r="AA16" s="178"/>
      <c r="AB16" s="17"/>
      <c r="AC16" s="17"/>
    </row>
    <row r="17" spans="1:29" ht="24.75" customHeight="1" thickBot="1" x14ac:dyDescent="0.35">
      <c r="B17" s="117" t="s">
        <v>53</v>
      </c>
      <c r="C17" s="118"/>
      <c r="D17" s="118"/>
      <c r="E17" s="44"/>
      <c r="F17" s="68">
        <f>W17</f>
        <v>63584</v>
      </c>
      <c r="G17" s="69"/>
      <c r="H17" s="70"/>
      <c r="I17" s="68">
        <f>X17</f>
        <v>63561</v>
      </c>
      <c r="J17" s="69"/>
      <c r="K17" s="70"/>
      <c r="L17" s="68">
        <f>AA17</f>
        <v>4</v>
      </c>
      <c r="M17" s="69"/>
      <c r="N17" s="70"/>
      <c r="O17" s="68">
        <f>Y17</f>
        <v>23</v>
      </c>
      <c r="P17" s="69"/>
      <c r="Q17" s="70"/>
      <c r="R17" s="112">
        <f>AB17</f>
        <v>389</v>
      </c>
      <c r="S17" s="113"/>
      <c r="T17" s="113"/>
      <c r="U17" s="114"/>
      <c r="W17" s="7">
        <v>63584</v>
      </c>
      <c r="X17" s="7">
        <v>63561</v>
      </c>
      <c r="Y17" s="7">
        <f t="shared" ref="Y17:Y18" si="0">W17-X17</f>
        <v>23</v>
      </c>
      <c r="Z17" s="7">
        <v>19</v>
      </c>
      <c r="AA17" s="8">
        <f>Y17-Z17</f>
        <v>4</v>
      </c>
      <c r="AB17" s="8">
        <f>AC17+Y17</f>
        <v>389</v>
      </c>
      <c r="AC17" s="8">
        <v>366</v>
      </c>
    </row>
    <row r="18" spans="1:29" ht="24.75" customHeight="1" thickBot="1" x14ac:dyDescent="0.35">
      <c r="A18" t="s">
        <v>91</v>
      </c>
      <c r="B18" s="117" t="s">
        <v>54</v>
      </c>
      <c r="C18" s="118"/>
      <c r="D18" s="118"/>
      <c r="E18" s="44"/>
      <c r="F18" s="68">
        <f>W18</f>
        <v>25429.200000000001</v>
      </c>
      <c r="G18" s="69"/>
      <c r="H18" s="70"/>
      <c r="I18" s="68">
        <f>X18</f>
        <v>25429.200000000001</v>
      </c>
      <c r="J18" s="69"/>
      <c r="K18" s="70"/>
      <c r="L18" s="68">
        <f>AA18</f>
        <v>0</v>
      </c>
      <c r="M18" s="69"/>
      <c r="N18" s="70"/>
      <c r="O18" s="68">
        <f>Y18</f>
        <v>0</v>
      </c>
      <c r="P18" s="69"/>
      <c r="Q18" s="70"/>
      <c r="R18" s="112">
        <f>AB18</f>
        <v>0</v>
      </c>
      <c r="S18" s="113"/>
      <c r="T18" s="113"/>
      <c r="U18" s="114"/>
      <c r="W18" s="18">
        <v>25429.200000000001</v>
      </c>
      <c r="X18" s="18">
        <v>25429.200000000001</v>
      </c>
      <c r="Y18" s="7">
        <f t="shared" si="0"/>
        <v>0</v>
      </c>
      <c r="Z18" s="7">
        <v>0</v>
      </c>
      <c r="AA18" s="7">
        <f>Y18-Z18</f>
        <v>0</v>
      </c>
      <c r="AB18" s="7">
        <f>AC18+Y18</f>
        <v>0</v>
      </c>
      <c r="AC18" s="7">
        <v>0</v>
      </c>
    </row>
    <row r="19" spans="1:29" ht="45.75" customHeight="1" x14ac:dyDescent="0.3">
      <c r="B19" s="50" t="s">
        <v>8</v>
      </c>
      <c r="C19" s="45"/>
      <c r="D19" s="45"/>
      <c r="E19" s="45"/>
      <c r="F19" s="1"/>
      <c r="G19" s="122" t="s">
        <v>59</v>
      </c>
      <c r="H19" s="83"/>
      <c r="I19" s="83"/>
      <c r="J19" s="83"/>
      <c r="K19" s="83"/>
      <c r="L19" s="83" t="s">
        <v>47</v>
      </c>
      <c r="M19" s="83"/>
      <c r="N19" s="83"/>
      <c r="O19" s="83"/>
      <c r="P19" s="83"/>
      <c r="Q19" s="83" t="s">
        <v>60</v>
      </c>
      <c r="R19" s="83"/>
      <c r="S19" s="83"/>
      <c r="T19" s="83"/>
      <c r="U19" s="84"/>
      <c r="W19" t="s">
        <v>90</v>
      </c>
    </row>
    <row r="20" spans="1:29" ht="32.1" customHeight="1" x14ac:dyDescent="0.3">
      <c r="B20" s="65" t="s">
        <v>0</v>
      </c>
      <c r="C20" s="66"/>
      <c r="D20" s="66"/>
      <c r="E20" s="66"/>
      <c r="F20" s="66"/>
      <c r="G20" s="66"/>
      <c r="H20" s="66"/>
      <c r="I20" s="66"/>
      <c r="J20" s="66"/>
      <c r="K20" s="66"/>
      <c r="L20" s="66"/>
      <c r="M20" s="66"/>
      <c r="N20" s="66"/>
      <c r="O20" s="66"/>
      <c r="P20" s="66"/>
      <c r="Q20" s="66"/>
      <c r="R20" s="66"/>
      <c r="S20" s="66"/>
      <c r="T20" s="66"/>
      <c r="U20" s="67"/>
      <c r="X20" s="9"/>
      <c r="Y20" s="11" t="s">
        <v>86</v>
      </c>
      <c r="Z20" s="10"/>
      <c r="AA20" s="11" t="s">
        <v>81</v>
      </c>
    </row>
    <row r="21" spans="1:29" ht="18.75" customHeight="1" x14ac:dyDescent="0.3">
      <c r="B21" s="52" t="s">
        <v>7</v>
      </c>
      <c r="C21" s="48"/>
      <c r="D21" s="48"/>
      <c r="E21" s="48"/>
      <c r="F21" s="48"/>
      <c r="G21" s="89" t="s">
        <v>28</v>
      </c>
      <c r="H21" s="89"/>
      <c r="I21" s="89"/>
      <c r="J21" s="89"/>
      <c r="K21" s="89"/>
      <c r="L21" s="89" t="s">
        <v>38</v>
      </c>
      <c r="M21" s="89"/>
      <c r="N21" s="89"/>
      <c r="O21" s="89"/>
      <c r="P21" s="89"/>
      <c r="Q21" s="45" t="s">
        <v>25</v>
      </c>
      <c r="R21" s="45"/>
      <c r="S21" s="45"/>
      <c r="T21" s="45"/>
      <c r="U21" s="46"/>
    </row>
    <row r="22" spans="1:29" ht="18.75" customHeight="1" x14ac:dyDescent="0.3">
      <c r="B22" s="88"/>
      <c r="C22" s="78"/>
      <c r="D22" s="78"/>
      <c r="E22" s="78"/>
      <c r="F22" s="78"/>
      <c r="G22" s="90"/>
      <c r="H22" s="90"/>
      <c r="I22" s="90"/>
      <c r="J22" s="90"/>
      <c r="K22" s="90"/>
      <c r="L22" s="90"/>
      <c r="M22" s="90"/>
      <c r="N22" s="90"/>
      <c r="O22" s="90"/>
      <c r="P22" s="90"/>
      <c r="Q22" s="48"/>
      <c r="R22" s="48"/>
      <c r="S22" s="48"/>
      <c r="T22" s="48"/>
      <c r="U22" s="49"/>
    </row>
    <row r="23" spans="1:29" ht="22.5" customHeight="1" x14ac:dyDescent="0.3">
      <c r="B23" s="120" t="s">
        <v>14</v>
      </c>
      <c r="C23" s="121"/>
      <c r="D23" s="121"/>
      <c r="E23" s="121"/>
      <c r="F23" s="121"/>
      <c r="G23" s="75" t="s">
        <v>5</v>
      </c>
      <c r="H23" s="75"/>
      <c r="I23" s="75"/>
      <c r="J23" s="75"/>
      <c r="K23" s="75"/>
      <c r="L23" s="81" t="s">
        <v>36</v>
      </c>
      <c r="M23" s="81"/>
      <c r="N23" s="81"/>
      <c r="O23" s="82"/>
      <c r="P23" s="6" t="s">
        <v>30</v>
      </c>
      <c r="Q23" s="79" t="s">
        <v>33</v>
      </c>
      <c r="R23" s="79"/>
      <c r="S23" s="79"/>
      <c r="T23" s="79"/>
      <c r="U23" s="80"/>
      <c r="W23" s="19" t="s">
        <v>88</v>
      </c>
      <c r="X23" s="20"/>
      <c r="Y23" s="20"/>
      <c r="Z23" s="20"/>
      <c r="AA23" s="21"/>
    </row>
    <row r="24" spans="1:29" ht="22.5" customHeight="1" x14ac:dyDescent="0.3">
      <c r="B24" s="73" t="s">
        <v>15</v>
      </c>
      <c r="C24" s="74"/>
      <c r="D24" s="74"/>
      <c r="E24" s="74"/>
      <c r="F24" s="74"/>
      <c r="G24" s="76"/>
      <c r="H24" s="76"/>
      <c r="I24" s="76"/>
      <c r="J24" s="76"/>
      <c r="K24" s="76"/>
      <c r="L24" s="71" t="s">
        <v>37</v>
      </c>
      <c r="M24" s="71"/>
      <c r="N24" s="71"/>
      <c r="O24" s="72"/>
      <c r="P24" s="5" t="s">
        <v>30</v>
      </c>
      <c r="Q24" s="87" t="s">
        <v>34</v>
      </c>
      <c r="R24" s="87"/>
      <c r="S24" s="87"/>
      <c r="T24" s="87"/>
      <c r="U24" s="145"/>
      <c r="W24" s="22"/>
      <c r="X24" s="23"/>
      <c r="Y24" s="23"/>
      <c r="Z24" s="23"/>
      <c r="AA24" s="24"/>
    </row>
    <row r="25" spans="1:29" ht="18.75" customHeight="1" x14ac:dyDescent="0.3">
      <c r="B25" s="52" t="s">
        <v>40</v>
      </c>
      <c r="C25" s="48"/>
      <c r="D25" s="48"/>
      <c r="E25" s="48"/>
      <c r="F25" s="48"/>
      <c r="G25" s="48" t="s">
        <v>18</v>
      </c>
      <c r="H25" s="48"/>
      <c r="I25" s="48"/>
      <c r="J25" s="48"/>
      <c r="K25" s="48"/>
      <c r="L25" s="48" t="s">
        <v>32</v>
      </c>
      <c r="M25" s="48"/>
      <c r="N25" s="48"/>
      <c r="O25" s="48"/>
      <c r="P25" s="48"/>
      <c r="Q25" s="48" t="s">
        <v>29</v>
      </c>
      <c r="R25" s="48"/>
      <c r="S25" s="48"/>
      <c r="T25" s="48"/>
      <c r="U25" s="49"/>
    </row>
    <row r="26" spans="1:29" ht="18.75" customHeight="1" x14ac:dyDescent="0.3">
      <c r="B26" s="88"/>
      <c r="C26" s="78"/>
      <c r="D26" s="78"/>
      <c r="E26" s="78"/>
      <c r="F26" s="78"/>
      <c r="G26" s="78"/>
      <c r="H26" s="78"/>
      <c r="I26" s="78"/>
      <c r="J26" s="78"/>
      <c r="K26" s="78"/>
      <c r="L26" s="78"/>
      <c r="M26" s="78"/>
      <c r="N26" s="78"/>
      <c r="O26" s="78"/>
      <c r="P26" s="78"/>
      <c r="Q26" s="78"/>
      <c r="R26" s="78"/>
      <c r="S26" s="78"/>
      <c r="T26" s="78"/>
      <c r="U26" s="146"/>
    </row>
    <row r="27" spans="1:29" ht="22.5" customHeight="1" x14ac:dyDescent="0.3">
      <c r="B27" s="149" t="s">
        <v>39</v>
      </c>
      <c r="C27" s="79"/>
      <c r="D27" s="93" t="s">
        <v>35</v>
      </c>
      <c r="E27" s="93"/>
      <c r="F27" s="93"/>
      <c r="G27" s="85" t="s">
        <v>39</v>
      </c>
      <c r="H27" s="79"/>
      <c r="I27" s="93" t="s">
        <v>35</v>
      </c>
      <c r="J27" s="93"/>
      <c r="K27" s="94"/>
      <c r="L27" s="75" t="s">
        <v>39</v>
      </c>
      <c r="M27" s="85"/>
      <c r="N27" s="94" t="s">
        <v>35</v>
      </c>
      <c r="O27" s="97"/>
      <c r="P27" s="97"/>
      <c r="Q27" s="77" t="s">
        <v>31</v>
      </c>
      <c r="R27" s="77"/>
      <c r="S27" s="77"/>
      <c r="T27" s="147" t="s">
        <v>41</v>
      </c>
      <c r="U27" s="148"/>
    </row>
    <row r="28" spans="1:29" ht="22.5" customHeight="1" x14ac:dyDescent="0.3">
      <c r="B28" s="150"/>
      <c r="C28" s="87"/>
      <c r="D28" s="95"/>
      <c r="E28" s="95"/>
      <c r="F28" s="95"/>
      <c r="G28" s="86"/>
      <c r="H28" s="87"/>
      <c r="I28" s="95"/>
      <c r="J28" s="95"/>
      <c r="K28" s="96"/>
      <c r="L28" s="76"/>
      <c r="M28" s="86"/>
      <c r="N28" s="96"/>
      <c r="O28" s="98"/>
      <c r="P28" s="98"/>
      <c r="Q28" s="91" t="s">
        <v>48</v>
      </c>
      <c r="R28" s="91"/>
      <c r="S28" s="91"/>
      <c r="T28" s="91"/>
      <c r="U28" s="92"/>
    </row>
    <row r="29" spans="1:29" ht="18.75" customHeight="1" x14ac:dyDescent="0.3">
      <c r="B29" s="50" t="s">
        <v>3</v>
      </c>
      <c r="C29" s="45"/>
      <c r="D29" s="45"/>
      <c r="E29" s="45"/>
      <c r="F29" s="51"/>
      <c r="G29" s="45" t="s">
        <v>2</v>
      </c>
      <c r="H29" s="45"/>
      <c r="I29" s="45"/>
      <c r="J29" s="45"/>
      <c r="K29" s="45"/>
      <c r="L29" s="45" t="s">
        <v>6</v>
      </c>
      <c r="M29" s="45"/>
      <c r="N29" s="45"/>
      <c r="O29" s="45"/>
      <c r="P29" s="45"/>
      <c r="Q29" s="44" t="s">
        <v>26</v>
      </c>
      <c r="R29" s="45"/>
      <c r="S29" s="45"/>
      <c r="T29" s="45"/>
      <c r="U29" s="46"/>
    </row>
    <row r="30" spans="1:29" ht="18.75" customHeight="1" x14ac:dyDescent="0.3">
      <c r="B30" s="52"/>
      <c r="C30" s="48"/>
      <c r="D30" s="48"/>
      <c r="E30" s="48"/>
      <c r="F30" s="53"/>
      <c r="G30" s="48"/>
      <c r="H30" s="48"/>
      <c r="I30" s="48"/>
      <c r="J30" s="48"/>
      <c r="K30" s="48"/>
      <c r="L30" s="48"/>
      <c r="M30" s="48"/>
      <c r="N30" s="48"/>
      <c r="O30" s="48"/>
      <c r="P30" s="48"/>
      <c r="Q30" s="47"/>
      <c r="R30" s="48"/>
      <c r="S30" s="48"/>
      <c r="T30" s="48"/>
      <c r="U30" s="49"/>
    </row>
    <row r="31" spans="1:29" ht="22.5" customHeight="1" x14ac:dyDescent="0.3">
      <c r="B31" s="40" t="s">
        <v>17</v>
      </c>
      <c r="C31" s="38"/>
      <c r="D31" s="38"/>
      <c r="E31" s="38"/>
      <c r="F31" s="41"/>
      <c r="G31" s="38" t="s">
        <v>16</v>
      </c>
      <c r="H31" s="38"/>
      <c r="I31" s="38"/>
      <c r="J31" s="38"/>
      <c r="K31" s="38"/>
      <c r="L31" s="38" t="s">
        <v>4</v>
      </c>
      <c r="M31" s="38"/>
      <c r="N31" s="38"/>
      <c r="O31" s="38"/>
      <c r="P31" s="38"/>
      <c r="Q31" s="54" t="s">
        <v>27</v>
      </c>
      <c r="R31" s="38"/>
      <c r="S31" s="38"/>
      <c r="T31" s="38"/>
      <c r="U31" s="55"/>
    </row>
    <row r="32" spans="1:29" ht="22.5" customHeight="1" x14ac:dyDescent="0.3">
      <c r="B32" s="42"/>
      <c r="C32" s="39"/>
      <c r="D32" s="39"/>
      <c r="E32" s="39"/>
      <c r="F32" s="43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56"/>
      <c r="R32" s="39"/>
      <c r="S32" s="39"/>
      <c r="T32" s="39"/>
      <c r="U32" s="57"/>
    </row>
    <row r="33" spans="2:21" ht="23.25" customHeight="1" x14ac:dyDescent="0.3">
      <c r="B33" s="52" t="s">
        <v>49</v>
      </c>
      <c r="C33" s="48"/>
      <c r="D33" s="48"/>
      <c r="E33" s="48"/>
      <c r="F33" s="53"/>
      <c r="G33" s="137" t="s">
        <v>50</v>
      </c>
      <c r="H33" s="138"/>
      <c r="I33" s="138"/>
      <c r="J33" s="138"/>
      <c r="K33" s="138"/>
      <c r="L33" s="48" t="s">
        <v>51</v>
      </c>
      <c r="M33" s="48"/>
      <c r="N33" s="48"/>
      <c r="O33" s="48"/>
      <c r="P33" s="53"/>
      <c r="Q33" s="140" t="s">
        <v>52</v>
      </c>
      <c r="R33" s="141"/>
      <c r="S33" s="141"/>
      <c r="T33" s="141"/>
      <c r="U33" s="142"/>
    </row>
    <row r="34" spans="2:21" ht="23.25" customHeight="1" x14ac:dyDescent="0.3">
      <c r="B34" s="134"/>
      <c r="C34" s="135"/>
      <c r="D34" s="135"/>
      <c r="E34" s="135"/>
      <c r="F34" s="136"/>
      <c r="G34" s="139"/>
      <c r="H34" s="71"/>
      <c r="I34" s="71"/>
      <c r="J34" s="71"/>
      <c r="K34" s="71"/>
      <c r="L34" s="135"/>
      <c r="M34" s="135"/>
      <c r="N34" s="135"/>
      <c r="O34" s="135"/>
      <c r="P34" s="136"/>
      <c r="Q34" s="143"/>
      <c r="R34" s="76"/>
      <c r="S34" s="76"/>
      <c r="T34" s="76"/>
      <c r="U34" s="144"/>
    </row>
    <row r="35" spans="2:21" ht="21" customHeight="1" x14ac:dyDescent="0.3">
      <c r="B35" s="25"/>
      <c r="C35" s="123"/>
      <c r="D35" s="60" t="s">
        <v>61</v>
      </c>
      <c r="E35" s="60"/>
      <c r="F35" s="60" t="s">
        <v>62</v>
      </c>
      <c r="G35" s="60"/>
      <c r="H35" s="62" t="s">
        <v>66</v>
      </c>
      <c r="I35" s="62"/>
      <c r="J35" s="62"/>
      <c r="K35" s="60" t="s">
        <v>63</v>
      </c>
      <c r="L35" s="60"/>
      <c r="M35" s="60" t="s">
        <v>64</v>
      </c>
      <c r="N35" s="60"/>
      <c r="O35" s="63" t="s">
        <v>67</v>
      </c>
      <c r="P35" s="63"/>
      <c r="Q35" s="64" t="s">
        <v>65</v>
      </c>
      <c r="R35" s="64"/>
      <c r="S35" s="64"/>
      <c r="T35" s="60" t="s">
        <v>58</v>
      </c>
      <c r="U35" s="61"/>
    </row>
    <row r="36" spans="2:21" ht="21" customHeight="1" x14ac:dyDescent="0.3">
      <c r="B36" s="58" t="s">
        <v>57</v>
      </c>
      <c r="C36" s="59"/>
      <c r="D36" s="27" t="s">
        <v>73</v>
      </c>
      <c r="E36" s="28"/>
      <c r="F36" s="27" t="s">
        <v>71</v>
      </c>
      <c r="G36" s="28"/>
      <c r="H36" s="27" t="s">
        <v>69</v>
      </c>
      <c r="I36" s="29"/>
      <c r="J36" s="28"/>
      <c r="K36" s="27" t="s">
        <v>74</v>
      </c>
      <c r="L36" s="28"/>
      <c r="M36" s="27" t="s">
        <v>71</v>
      </c>
      <c r="N36" s="28"/>
      <c r="O36" s="27" t="s">
        <v>75</v>
      </c>
      <c r="P36" s="28"/>
      <c r="Q36" s="27" t="s">
        <v>69</v>
      </c>
      <c r="R36" s="29"/>
      <c r="S36" s="28"/>
      <c r="T36" s="30" t="s">
        <v>72</v>
      </c>
      <c r="U36" s="31"/>
    </row>
    <row r="37" spans="2:21" ht="21" customHeight="1" x14ac:dyDescent="0.3">
      <c r="B37" s="25" t="s">
        <v>56</v>
      </c>
      <c r="C37" s="26"/>
      <c r="D37" s="27">
        <v>574.09</v>
      </c>
      <c r="E37" s="28"/>
      <c r="F37" s="27">
        <v>1840.79</v>
      </c>
      <c r="G37" s="28"/>
      <c r="H37" s="27">
        <v>58.832999999999998</v>
      </c>
      <c r="I37" s="29"/>
      <c r="J37" s="28"/>
      <c r="K37" s="27">
        <v>34.479999999999997</v>
      </c>
      <c r="L37" s="28"/>
      <c r="M37" s="27">
        <v>86.95</v>
      </c>
      <c r="N37" s="28"/>
      <c r="O37" s="36">
        <v>32905.300000000003</v>
      </c>
      <c r="P37" s="37"/>
      <c r="Q37" s="27">
        <v>65.343999999999994</v>
      </c>
      <c r="R37" s="29"/>
      <c r="S37" s="28"/>
      <c r="T37" s="32"/>
      <c r="U37" s="33"/>
    </row>
    <row r="38" spans="2:21" ht="21" customHeight="1" x14ac:dyDescent="0.3">
      <c r="B38" s="25" t="s">
        <v>68</v>
      </c>
      <c r="C38" s="26"/>
      <c r="D38" s="27" t="s">
        <v>71</v>
      </c>
      <c r="E38" s="28"/>
      <c r="F38" s="27" t="s">
        <v>71</v>
      </c>
      <c r="G38" s="28"/>
      <c r="H38" s="27" t="s">
        <v>69</v>
      </c>
      <c r="I38" s="29"/>
      <c r="J38" s="28"/>
      <c r="K38" s="27" t="s">
        <v>71</v>
      </c>
      <c r="L38" s="28"/>
      <c r="M38" s="27" t="s">
        <v>71</v>
      </c>
      <c r="N38" s="28"/>
      <c r="O38" s="27" t="s">
        <v>70</v>
      </c>
      <c r="P38" s="28"/>
      <c r="Q38" s="27" t="s">
        <v>69</v>
      </c>
      <c r="R38" s="29"/>
      <c r="S38" s="28"/>
      <c r="T38" s="34"/>
      <c r="U38" s="35"/>
    </row>
    <row r="39" spans="2:21" ht="21" customHeight="1" x14ac:dyDescent="0.3">
      <c r="B39" s="124" t="s">
        <v>55</v>
      </c>
      <c r="C39" s="125"/>
      <c r="D39" s="125"/>
      <c r="E39" s="126"/>
      <c r="F39" s="99"/>
      <c r="G39" s="100"/>
      <c r="H39" s="100"/>
      <c r="I39" s="100"/>
      <c r="J39" s="100"/>
      <c r="K39" s="100"/>
      <c r="L39" s="100"/>
      <c r="M39" s="100"/>
      <c r="N39" s="100"/>
      <c r="O39" s="100"/>
      <c r="P39" s="100"/>
      <c r="Q39" s="100"/>
      <c r="R39" s="100"/>
      <c r="S39" s="100"/>
      <c r="T39" s="100"/>
      <c r="U39" s="130"/>
    </row>
    <row r="40" spans="2:21" ht="21" customHeight="1" thickBot="1" x14ac:dyDescent="0.35">
      <c r="B40" s="127"/>
      <c r="C40" s="128"/>
      <c r="D40" s="128"/>
      <c r="E40" s="129"/>
      <c r="F40" s="131"/>
      <c r="G40" s="132"/>
      <c r="H40" s="132"/>
      <c r="I40" s="132"/>
      <c r="J40" s="132"/>
      <c r="K40" s="132"/>
      <c r="L40" s="132"/>
      <c r="M40" s="132"/>
      <c r="N40" s="132"/>
      <c r="O40" s="132"/>
      <c r="P40" s="132"/>
      <c r="Q40" s="132"/>
      <c r="R40" s="132"/>
      <c r="S40" s="132"/>
      <c r="T40" s="132"/>
      <c r="U40" s="133"/>
    </row>
    <row r="41" spans="2:21" ht="17.25" x14ac:dyDescent="0.3">
      <c r="E41" s="119"/>
      <c r="F41" s="119"/>
      <c r="G41" s="119"/>
      <c r="H41" s="119"/>
      <c r="I41" s="119"/>
      <c r="J41" s="119"/>
      <c r="K41" s="119"/>
      <c r="L41" s="119"/>
      <c r="M41" s="119"/>
      <c r="N41" s="119"/>
      <c r="O41" s="119"/>
      <c r="P41" s="119"/>
      <c r="Q41" s="119"/>
      <c r="R41" s="119"/>
      <c r="S41" s="119"/>
      <c r="T41" s="119"/>
    </row>
  </sheetData>
  <mergeCells count="154">
    <mergeCell ref="O2:O4"/>
    <mergeCell ref="W3:AC4"/>
    <mergeCell ref="W5:AC6"/>
    <mergeCell ref="AA13:AA14"/>
    <mergeCell ref="W7:AC7"/>
    <mergeCell ref="R11:U12"/>
    <mergeCell ref="W9:W10"/>
    <mergeCell ref="W11:W12"/>
    <mergeCell ref="W13:W14"/>
    <mergeCell ref="X13:X14"/>
    <mergeCell ref="X11:X12"/>
    <mergeCell ref="X9:X10"/>
    <mergeCell ref="F8:H8"/>
    <mergeCell ref="I9:K10"/>
    <mergeCell ref="I11:K12"/>
    <mergeCell ref="AA15:AA16"/>
    <mergeCell ref="R13:U14"/>
    <mergeCell ref="AA9:AA10"/>
    <mergeCell ref="AA11:AA12"/>
    <mergeCell ref="X15:X16"/>
    <mergeCell ref="W15:W16"/>
    <mergeCell ref="B2:L4"/>
    <mergeCell ref="O11:Q12"/>
    <mergeCell ref="B7:U7"/>
    <mergeCell ref="B8:E8"/>
    <mergeCell ref="R9:U10"/>
    <mergeCell ref="J6:U6"/>
    <mergeCell ref="B6:I6"/>
    <mergeCell ref="R2:S2"/>
    <mergeCell ref="T2:U2"/>
    <mergeCell ref="R8:U8"/>
    <mergeCell ref="P2:Q2"/>
    <mergeCell ref="P3:Q4"/>
    <mergeCell ref="R3:S4"/>
    <mergeCell ref="T3:U4"/>
    <mergeCell ref="B9:E10"/>
    <mergeCell ref="B11:C14"/>
    <mergeCell ref="D11:E12"/>
    <mergeCell ref="D13:E14"/>
    <mergeCell ref="F11:H12"/>
    <mergeCell ref="L9:N10"/>
    <mergeCell ref="L11:N12"/>
    <mergeCell ref="O8:Q8"/>
    <mergeCell ref="L8:N8"/>
    <mergeCell ref="I8:K8"/>
    <mergeCell ref="E41:F41"/>
    <mergeCell ref="G41:H41"/>
    <mergeCell ref="I41:K41"/>
    <mergeCell ref="L41:M41"/>
    <mergeCell ref="N41:O41"/>
    <mergeCell ref="B23:F23"/>
    <mergeCell ref="G21:K22"/>
    <mergeCell ref="G19:K19"/>
    <mergeCell ref="B35:C35"/>
    <mergeCell ref="B39:E40"/>
    <mergeCell ref="F39:U40"/>
    <mergeCell ref="B33:F34"/>
    <mergeCell ref="G33:K34"/>
    <mergeCell ref="L33:P34"/>
    <mergeCell ref="Q33:U34"/>
    <mergeCell ref="Q24:U24"/>
    <mergeCell ref="Q25:U26"/>
    <mergeCell ref="T27:U27"/>
    <mergeCell ref="B27:C28"/>
    <mergeCell ref="P41:Q41"/>
    <mergeCell ref="R41:T41"/>
    <mergeCell ref="L19:P19"/>
    <mergeCell ref="D27:F28"/>
    <mergeCell ref="L27:M28"/>
    <mergeCell ref="B15:E16"/>
    <mergeCell ref="F13:H14"/>
    <mergeCell ref="L13:N14"/>
    <mergeCell ref="L15:N16"/>
    <mergeCell ref="F15:H16"/>
    <mergeCell ref="I13:K14"/>
    <mergeCell ref="F9:H10"/>
    <mergeCell ref="R17:U17"/>
    <mergeCell ref="R18:U18"/>
    <mergeCell ref="O17:Q17"/>
    <mergeCell ref="O9:Q10"/>
    <mergeCell ref="R15:U16"/>
    <mergeCell ref="I15:K16"/>
    <mergeCell ref="O13:Q14"/>
    <mergeCell ref="O15:Q16"/>
    <mergeCell ref="B17:E17"/>
    <mergeCell ref="F17:H17"/>
    <mergeCell ref="I17:K17"/>
    <mergeCell ref="L17:N17"/>
    <mergeCell ref="B18:E18"/>
    <mergeCell ref="F18:H18"/>
    <mergeCell ref="I18:K18"/>
    <mergeCell ref="L18:N18"/>
    <mergeCell ref="B20:U20"/>
    <mergeCell ref="O18:Q18"/>
    <mergeCell ref="L24:O24"/>
    <mergeCell ref="B24:F24"/>
    <mergeCell ref="G23:K24"/>
    <mergeCell ref="Q27:S27"/>
    <mergeCell ref="G25:K26"/>
    <mergeCell ref="L25:P26"/>
    <mergeCell ref="Q23:U23"/>
    <mergeCell ref="L23:O23"/>
    <mergeCell ref="Q19:U19"/>
    <mergeCell ref="G27:H28"/>
    <mergeCell ref="B25:F26"/>
    <mergeCell ref="Q21:U22"/>
    <mergeCell ref="L21:P22"/>
    <mergeCell ref="B21:F22"/>
    <mergeCell ref="B19:E19"/>
    <mergeCell ref="Q28:U28"/>
    <mergeCell ref="I27:K28"/>
    <mergeCell ref="N27:P28"/>
    <mergeCell ref="B37:C37"/>
    <mergeCell ref="G31:K32"/>
    <mergeCell ref="B31:F32"/>
    <mergeCell ref="Q29:U30"/>
    <mergeCell ref="B29:F30"/>
    <mergeCell ref="G29:K30"/>
    <mergeCell ref="L29:P30"/>
    <mergeCell ref="L31:P32"/>
    <mergeCell ref="Q31:U32"/>
    <mergeCell ref="B36:C36"/>
    <mergeCell ref="D35:E35"/>
    <mergeCell ref="F35:G35"/>
    <mergeCell ref="T35:U35"/>
    <mergeCell ref="H35:J35"/>
    <mergeCell ref="K35:L35"/>
    <mergeCell ref="M35:N35"/>
    <mergeCell ref="O35:P35"/>
    <mergeCell ref="Q35:S35"/>
    <mergeCell ref="W23:AA24"/>
    <mergeCell ref="B38:C38"/>
    <mergeCell ref="F37:G37"/>
    <mergeCell ref="H38:J38"/>
    <mergeCell ref="K38:L38"/>
    <mergeCell ref="M38:N38"/>
    <mergeCell ref="O38:P38"/>
    <mergeCell ref="Q38:S38"/>
    <mergeCell ref="T36:U38"/>
    <mergeCell ref="D36:E36"/>
    <mergeCell ref="F36:G36"/>
    <mergeCell ref="D38:E38"/>
    <mergeCell ref="F38:G38"/>
    <mergeCell ref="H36:J36"/>
    <mergeCell ref="K36:L36"/>
    <mergeCell ref="M36:N36"/>
    <mergeCell ref="O36:P36"/>
    <mergeCell ref="Q36:S36"/>
    <mergeCell ref="D37:E37"/>
    <mergeCell ref="H37:J37"/>
    <mergeCell ref="K37:L37"/>
    <mergeCell ref="M37:N37"/>
    <mergeCell ref="O37:P37"/>
    <mergeCell ref="Q37:S37"/>
  </mergeCells>
  <phoneticPr fontId="1" type="noConversion"/>
  <printOptions horizontalCentered="1"/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당직일지</vt:lpstr>
      <vt:lpstr>당직일지!Print_Area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omar devon</cp:lastModifiedBy>
  <cp:lastPrinted>2025-07-31T12:23:32Z</cp:lastPrinted>
  <dcterms:created xsi:type="dcterms:W3CDTF">2019-09-19T07:31:30Z</dcterms:created>
  <dcterms:modified xsi:type="dcterms:W3CDTF">2026-10-21T15:35:25Z</dcterms:modified>
</cp:coreProperties>
</file>